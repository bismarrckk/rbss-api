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rngeno\Documents\"/>
    </mc:Choice>
  </mc:AlternateContent>
  <xr:revisionPtr revIDLastSave="0" documentId="8_{2F9B2083-A857-4685-928E-76216BB06091}" xr6:coauthVersionLast="47" xr6:coauthVersionMax="47" xr10:uidLastSave="{00000000-0000-0000-0000-000000000000}"/>
  <bookViews>
    <workbookView xWindow="-110" yWindow="-110" windowWidth="19420" windowHeight="10420" firstSheet="1" activeTab="1" xr2:uid="{00000000-000D-0000-FFFF-FFFF00000000}"/>
  </bookViews>
  <sheets>
    <sheet name="Operational Risks (2)" sheetId="117" state="hidden" r:id="rId1"/>
    <sheet name="Operational Risks" sheetId="106" r:id="rId2"/>
    <sheet name="Prudential Risks" sheetId="33" r:id="rId3"/>
    <sheet name="Governance Controls" sheetId="114" r:id="rId4"/>
    <sheet name="Capital Support " sheetId="113" r:id="rId5"/>
    <sheet name="Client Loss Ratio" sheetId="116" state="hidden" r:id="rId6"/>
    <sheet name="AML" sheetId="115" state="hidden" r:id="rId7"/>
  </sheets>
  <definedNames>
    <definedName name="_Fill" localSheetId="5" hidden="1">#REF!</definedName>
    <definedName name="_Fill" hidden="1">#REF!</definedName>
    <definedName name="_Parse_In" localSheetId="5" hidden="1">#REF!</definedName>
    <definedName name="_Parse_In" hidden="1">#REF!</definedName>
    <definedName name="_Parse_Out" localSheetId="5" hidden="1">#REF!</definedName>
    <definedName name="_Parse_Out" hidden="1">#REF!</definedName>
    <definedName name="a" localSheetId="5" hidden="1">{#N/A,#N/A,FALSE,"Glossary"}</definedName>
    <definedName name="a" hidden="1">{#N/A,#N/A,FALSE,"Glossary"}</definedName>
    <definedName name="wrn.Report1." localSheetId="5" hidden="1">{#N/A,#N/A,FALSE,"Glossary"}</definedName>
    <definedName name="wrn.Report1." hidden="1">{#N/A,#N/A,FALSE,"Glossary"}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18" i="113" l="1"/>
  <c r="H17" i="113"/>
  <c r="H42" i="117"/>
  <c r="H41" i="117"/>
  <c r="H37" i="117"/>
  <c r="H36" i="117"/>
  <c r="H35" i="117"/>
  <c r="H34" i="117"/>
  <c r="H32" i="117"/>
  <c r="H31" i="117"/>
  <c r="H30" i="117"/>
  <c r="H29" i="117"/>
  <c r="H28" i="117"/>
  <c r="H27" i="117"/>
  <c r="H21" i="117"/>
  <c r="H20" i="117"/>
  <c r="H19" i="117"/>
  <c r="H18" i="117"/>
  <c r="H13" i="117"/>
  <c r="H12" i="117"/>
  <c r="H11" i="117"/>
  <c r="H10" i="117"/>
  <c r="H8" i="117"/>
  <c r="H6" i="117"/>
  <c r="H4" i="117"/>
  <c r="H10" i="113"/>
  <c r="H9" i="113"/>
  <c r="H5" i="113"/>
  <c r="H4" i="113"/>
  <c r="H8" i="114" l="1"/>
  <c r="H8" i="106"/>
  <c r="H6" i="106"/>
  <c r="H4" i="106"/>
  <c r="E8" i="116" l="1"/>
  <c r="I10" i="116"/>
  <c r="J9" i="116" s="1"/>
  <c r="H10" i="116"/>
  <c r="D10" i="116"/>
  <c r="E9" i="116" s="1"/>
  <c r="C10" i="116"/>
  <c r="J8" i="116"/>
  <c r="J10" i="116" s="1"/>
  <c r="E10" i="116"/>
</calcChain>
</file>

<file path=xl/sharedStrings.xml><?xml version="1.0" encoding="utf-8"?>
<sst xmlns="http://schemas.openxmlformats.org/spreadsheetml/2006/main" count="609" uniqueCount="278">
  <si>
    <t>Strategic Risk</t>
  </si>
  <si>
    <t xml:space="preserve">Assessment </t>
  </si>
  <si>
    <t>The insurer technical staff have proper understanding of technical area of operation</t>
  </si>
  <si>
    <t>The insurer has a structured training programs for members of staff</t>
  </si>
  <si>
    <t>The insurer has developed a fraud policy</t>
  </si>
  <si>
    <t>The insurer has a personnel dedicated to determine incidences of fraud</t>
  </si>
  <si>
    <t>The insurer has not recorded or reported any incident of fraud</t>
  </si>
  <si>
    <t>Earnings</t>
  </si>
  <si>
    <t xml:space="preserve">Risk </t>
  </si>
  <si>
    <t>Significant Activity</t>
  </si>
  <si>
    <t>1. Onboarding of clients</t>
  </si>
  <si>
    <t>3. Transmission of orders</t>
  </si>
  <si>
    <t>Inherent Risk Indicators</t>
  </si>
  <si>
    <t>Market risk</t>
  </si>
  <si>
    <t>Liquidity risk</t>
  </si>
  <si>
    <t>PRUDENTIAL RISK</t>
  </si>
  <si>
    <t>CAPITAL SUPPORT</t>
  </si>
  <si>
    <t>GOVERNANCE CONTROLS</t>
  </si>
  <si>
    <t>Corporate Governance Controls</t>
  </si>
  <si>
    <t>Is the Board Chair independent from management?</t>
  </si>
  <si>
    <t>Are there policies and procedures for selection,  appointment, renewal or succession of directors?</t>
  </si>
  <si>
    <t>Is internal audit independence from line management</t>
  </si>
  <si>
    <t>Is there a methodology for determining the scope and frequency of internal audit?</t>
  </si>
  <si>
    <t>Is its methodology risk-based?</t>
  </si>
  <si>
    <t>Is there a follow up of corrective actions?</t>
  </si>
  <si>
    <t>Does frequency of audit cycles respond to institution environment, risk profile and strategy?</t>
  </si>
  <si>
    <t>Does audit function have oversight over other functions (risk)?</t>
  </si>
  <si>
    <t>Is there direct access to the Board?</t>
  </si>
  <si>
    <t>Information and management system controls</t>
  </si>
  <si>
    <t>Compliance function</t>
  </si>
  <si>
    <t xml:space="preserve">Is there a reporting framework for issues of non-compliance </t>
  </si>
  <si>
    <t>Is there communication of new or amended standards, laws or regulations?</t>
  </si>
  <si>
    <t>Are risk appetite, risk tolerance and other risk policies approved by the board?</t>
  </si>
  <si>
    <t xml:space="preserve">Change in the value of transactions </t>
  </si>
  <si>
    <t>Change in the number of transactions related to client's profile</t>
  </si>
  <si>
    <t>The transactions come from a source of wealth and source of funds considered to be high risk</t>
  </si>
  <si>
    <t>Product /Service Risk - number of accounts</t>
  </si>
  <si>
    <t>Number of transactions/accounts not onboarded on a face to face</t>
  </si>
  <si>
    <t>Availability of comprehensive assessment plan of the ML/TF risks facing the institution</t>
  </si>
  <si>
    <t>Continuous monitoring of customer’s transactions and reports are provided</t>
  </si>
  <si>
    <t xml:space="preserve">The company has a person properly resourced responsible for AML/TF </t>
  </si>
  <si>
    <t>Availability of processes/methodology to restrict business relationships with any client (s) that is considered to present an unacceptable level of ML/TF risk</t>
  </si>
  <si>
    <t>Availability of processes/methodology to terminate business relationships with any client (s) that is considered to present an unacceptable level of ML/TF risk</t>
  </si>
  <si>
    <t>Procedure to confirm the identity and sources of funds during customer on-boarding</t>
  </si>
  <si>
    <t>Change in the number of PEPS</t>
  </si>
  <si>
    <t xml:space="preserve">Number of transactions from Resident Legal Persons </t>
  </si>
  <si>
    <t xml:space="preserve">Number of transactions from Non Residents Natural Person </t>
  </si>
  <si>
    <t xml:space="preserve">Number of transactions from Non Residents Legal Persons </t>
  </si>
  <si>
    <t>Availability of a Customer Acceptance Policy</t>
  </si>
  <si>
    <t>The company obtains and retains KYC information and documentation on customers</t>
  </si>
  <si>
    <t>Availability of systems to detect customers who are sanctioned</t>
  </si>
  <si>
    <t>Availability of systems to detect customers fictitious id</t>
  </si>
  <si>
    <t>Has entity reported any suspicious activity to the FRC</t>
  </si>
  <si>
    <t xml:space="preserve">Company has a database on PEPs and conducted review -quarterly- of PEPS </t>
  </si>
  <si>
    <t>Process to verify enhanced AML diligence on PEPS</t>
  </si>
  <si>
    <t>Identification of non-residents has been verified by public notaries or commissioner or consulate in that country</t>
  </si>
  <si>
    <t>ANTI MONEY LAUNDERING ASSESSMENT</t>
  </si>
  <si>
    <t>OPERATIONAL RISKS</t>
  </si>
  <si>
    <t>Concentration risk in revenues</t>
  </si>
  <si>
    <t xml:space="preserve">Filing annual AML compliance report </t>
  </si>
  <si>
    <t>Criteria</t>
  </si>
  <si>
    <t>Percentage</t>
  </si>
  <si>
    <t>Number</t>
  </si>
  <si>
    <t>Do you have an investor profile template?</t>
  </si>
  <si>
    <t>Do you have any encumbered assets?</t>
  </si>
  <si>
    <t>Yes/No</t>
  </si>
  <si>
    <t>Do you have any exchange rate exposures?</t>
  </si>
  <si>
    <t>Do you have any policies regarding liquidity risk?</t>
  </si>
  <si>
    <t>What was your Dividend Paid?</t>
  </si>
  <si>
    <t xml:space="preserve">Do you have procedures and policies to declare dividends </t>
  </si>
  <si>
    <t>What were your number of customers with anonymous or fictitious/benami name(s)</t>
  </si>
  <si>
    <t xml:space="preserve">What were your number of customers who are sanctioned by the United Nations/ Others </t>
  </si>
  <si>
    <t>What were your number of transactions from  Residents Natural persons</t>
  </si>
  <si>
    <t>What were your number of transactions from PEPS</t>
  </si>
  <si>
    <t>Do you have any other board committees apart from Risk and Audit ?</t>
  </si>
  <si>
    <t>How many board members do you have?</t>
  </si>
  <si>
    <t>What is your Total Assets?</t>
  </si>
  <si>
    <t>How many board members are independent non-executive members?</t>
  </si>
  <si>
    <t>Does the board have a board charter?</t>
  </si>
  <si>
    <t>Do you have risk management policies?</t>
  </si>
  <si>
    <t>Is the risk/compliance officer independent from line management and have direct access to the Board?</t>
  </si>
  <si>
    <t>Comments if Needed</t>
  </si>
  <si>
    <t>Is the board member performance evaluated by an independent party?</t>
  </si>
  <si>
    <t>Do you have a criteria for the assessment of CEO and senior management?</t>
  </si>
  <si>
    <t>Do you perform an annual review of the board charter?</t>
  </si>
  <si>
    <t>Have you had issues regarding fit and proper of your board members within the last 3 years?</t>
  </si>
  <si>
    <t>Do you have an internal Audit function?</t>
  </si>
  <si>
    <t>Do you have policies regarding exchange rate risk?</t>
  </si>
  <si>
    <t>Do you review and update your exchange rate policies at least annually?</t>
  </si>
  <si>
    <t>Do you review and update your liquidity risk policies at least annually?</t>
  </si>
  <si>
    <t>Within the last three years, has your revenues grown?</t>
  </si>
  <si>
    <t>What percentage does your largest client contribute to your business?</t>
  </si>
  <si>
    <t>Do you have policies and procedures regarding revenue diversification (marketing strategy)?</t>
  </si>
  <si>
    <t>What percentage of your total expenses is shared with your Group?</t>
  </si>
  <si>
    <t>What percentage of your strategic plan have you completed?</t>
  </si>
  <si>
    <t>Are there any complaints by clients when onboarding them for risk profiling purposes? If Yes state the number in year 2022</t>
  </si>
  <si>
    <t>Are investors given information regarding the risk and return on forex investments?</t>
  </si>
  <si>
    <t>Do you have procedures and policies for client profiling?</t>
  </si>
  <si>
    <t>Do you have a documented conflict of interest policy?</t>
  </si>
  <si>
    <t>Do you have a policy on staff (and related parties) trading?</t>
  </si>
  <si>
    <t>Does the system used for transmitting orders and executing orders provide automated notifications to clients?</t>
  </si>
  <si>
    <t>Have there been indications of slippage? If yes, how many in a year?</t>
  </si>
  <si>
    <t>What is the proportion of trades sent out of the system (system down time)?</t>
  </si>
  <si>
    <t>Withine the last 2 years have you ever had complaints from clients regarding withdrawal of funds? If yes, How many?</t>
  </si>
  <si>
    <t>When a withdrawal is made, how long does it take for the client to receive the funds?</t>
  </si>
  <si>
    <t xml:space="preserve">No. of Days </t>
  </si>
  <si>
    <t>Within the previous 2 years, have you had cases of of high risk customers or transactions with customers in countries designated as high risk countries?</t>
  </si>
  <si>
    <t>Outline</t>
  </si>
  <si>
    <t>Do you have a methodology to assess the performance of your board members?</t>
  </si>
  <si>
    <t>Is there segregation of duties and responsibilities?</t>
  </si>
  <si>
    <t>Is there a methodology to assess the compliance culture?</t>
  </si>
  <si>
    <t>Is there a process for monitoring, communicating, and reporting risk management issues?</t>
  </si>
  <si>
    <t xml:space="preserve">Number </t>
  </si>
  <si>
    <t>What is the percentage of non-core business revenues to total revenues?</t>
  </si>
  <si>
    <t>Do you have a register of board members', shareholders', employees' interests which could give rise to a conflict?</t>
  </si>
  <si>
    <t>Is there an annual sign off confirming that the information contained in the register of interests is correct?</t>
  </si>
  <si>
    <t>Does the entity have a procedure to detect possible cases of market misconduct?</t>
  </si>
  <si>
    <t>What are the number of cases  under investigation</t>
  </si>
  <si>
    <t>4. Order execution</t>
  </si>
  <si>
    <t>5. Withdrawal of funds</t>
  </si>
  <si>
    <t>Are there policies and procedures to ensure proper settlement of trades?</t>
  </si>
  <si>
    <t>How many of your clients were active as at December 2022? (A client with 3 months of zero trades can be considered inactive)</t>
  </si>
  <si>
    <t>How many of your clients were active as at December 2021? (A client with 3 months of zero trades can be considered inactive)</t>
  </si>
  <si>
    <t xml:space="preserve">2. Sales </t>
  </si>
  <si>
    <t>Do you have a Sales team?</t>
  </si>
  <si>
    <t xml:space="preserve">Is there a procedure to check that the sales team is operating as per policy? </t>
  </si>
  <si>
    <t>Number of complaints received from investors regarding sales experience</t>
  </si>
  <si>
    <t>Does the supervisor sample the call recordings to confirm adherence to policy?</t>
  </si>
  <si>
    <t>Is there any credit/ bonus granted  to investors in forex transactions?</t>
  </si>
  <si>
    <t xml:space="preserve">Are there any incidents of delays/failure in the clearing and settlement process? </t>
  </si>
  <si>
    <t>Questions</t>
  </si>
  <si>
    <t xml:space="preserve">Self Assessment </t>
  </si>
  <si>
    <t>CLIENT LOSS RATIO CALCULATIONS</t>
  </si>
  <si>
    <t>Please fill in the section in blue</t>
  </si>
  <si>
    <t>Jan 2021 - Dec 2021</t>
  </si>
  <si>
    <t>Jan 2022 - Dec 2022</t>
  </si>
  <si>
    <t xml:space="preserve">Number of Accounts </t>
  </si>
  <si>
    <t>Amounts in USD equiv.</t>
  </si>
  <si>
    <r>
      <t>%</t>
    </r>
    <r>
      <rPr>
        <sz val="12"/>
        <color theme="1"/>
        <rFont val="Corbel"/>
        <family val="2"/>
      </rPr>
      <t xml:space="preserve"> Using the Amounts in USD equiv.</t>
    </r>
  </si>
  <si>
    <t>Winning</t>
  </si>
  <si>
    <t>Losing</t>
  </si>
  <si>
    <t xml:space="preserve">Total Accounts </t>
  </si>
  <si>
    <t xml:space="preserve">For purposes of calculation: </t>
  </si>
  <si>
    <t xml:space="preserve">a. An individual retail client CFD trading account shall be considered to have lost money if the sum of all realised and unrealised net profits on CFDs connected to the CFD trading account during the 12-month calculation period is negative. </t>
  </si>
  <si>
    <t xml:space="preserve">b. Any costs relating to the CFDs connected to the CFD trading account shall be included in the calculation, including all charges, fees and commissions. </t>
  </si>
  <si>
    <t xml:space="preserve">c. The following items shall be excluded from the calculation: </t>
  </si>
  <si>
    <r>
      <t xml:space="preserve">                                            </t>
    </r>
    <r>
      <rPr>
        <sz val="12"/>
        <color theme="1"/>
        <rFont val="Corbel"/>
        <family val="2"/>
      </rPr>
      <t xml:space="preserve">i.any CFD trading account that did not have an open CFD connected to it within the calculation period. </t>
    </r>
  </si>
  <si>
    <r>
      <t xml:space="preserve">                                           </t>
    </r>
    <r>
      <rPr>
        <sz val="12"/>
        <color theme="1"/>
        <rFont val="Corbel"/>
        <family val="2"/>
      </rPr>
      <t>ii.any profits or losses from products other than CFDs connected to the CFD trading account.</t>
    </r>
  </si>
  <si>
    <t>Number of corporate clients as at December 2022?</t>
  </si>
  <si>
    <t>Number of corporate clients as at December 2021?</t>
  </si>
  <si>
    <t>Total number of clients as at December 2022?</t>
  </si>
  <si>
    <t>Total number of clients as at December 2021?</t>
  </si>
  <si>
    <t>What is your total Liabilities as at December 2022?</t>
  </si>
  <si>
    <t>What is your total Equities as at December 2022?</t>
  </si>
  <si>
    <t>Number of foreign currencies in own portfolio</t>
  </si>
  <si>
    <t>What is your surplus regulatory liquid capital as at December 2022?</t>
  </si>
  <si>
    <t>In your opinion, has your market share grown within the last three years?</t>
  </si>
  <si>
    <t>Are there any shared services agreement in place?</t>
  </si>
  <si>
    <t>Is audit function well resourced and qualified (member of ICPAK)?</t>
  </si>
  <si>
    <t>Are there system audit trails?</t>
  </si>
  <si>
    <t>Are there procedures and alarms to detect of  breach in systems?</t>
  </si>
  <si>
    <t>Are there business continuity and response plans to security incidents?</t>
  </si>
  <si>
    <t>Does your firm have disaster recovery plans?</t>
  </si>
  <si>
    <t>What is the frequency of information system back ups?</t>
  </si>
  <si>
    <t>Is compliance function well resourced and qualified (CISI,UK)?</t>
  </si>
  <si>
    <t>Is there a compliance monitoring  mechanism for checking compliance with laws and regulations</t>
  </si>
  <si>
    <t>Is there a mechanism for monitoring changes to regulations?</t>
  </si>
  <si>
    <t>Is Compliance independent from line management?</t>
  </si>
  <si>
    <t>Is there direct access to Board?</t>
  </si>
  <si>
    <t>What is the frequency of reviews of risk management policies?</t>
  </si>
  <si>
    <t>How many Board meetings have you held in the past year?</t>
  </si>
  <si>
    <t>How many Audit committee meetings have you held in the past year?</t>
  </si>
  <si>
    <t>What is your liquid capital as at December 2022?</t>
  </si>
  <si>
    <t>What is your liquid capital as at December 2021?</t>
  </si>
  <si>
    <t>What was your net profit (loss) after tax?</t>
  </si>
  <si>
    <t>What is your average  percentage growth in Equity for the last 3 years?</t>
  </si>
  <si>
    <t>Does your firm have a documented capital management strategy?</t>
  </si>
  <si>
    <t>Does your firm plan to raise capital to meet capital requirements or access additional capital to strengthen the capital base?</t>
  </si>
  <si>
    <t>What is your retained earnings as at December 2022?</t>
  </si>
  <si>
    <t>What is your retained earnings as at December 2021?</t>
  </si>
  <si>
    <t>What is your shareholder equity as at December 2022?</t>
  </si>
  <si>
    <t>What is your shareholder equity as at December 2021?</t>
  </si>
  <si>
    <t>Average % change in profits for the past 3 years</t>
  </si>
  <si>
    <t>How is the firm positioned to meet competition in the marketplace?</t>
  </si>
  <si>
    <t xml:space="preserve">Outline </t>
  </si>
  <si>
    <t xml:space="preserve">Outline and state percentage </t>
  </si>
  <si>
    <t>How is the monitoring of the implementation of the strategic plan conducted?</t>
  </si>
  <si>
    <t xml:space="preserve">Outline  </t>
  </si>
  <si>
    <t>How often is the strategic plan reviewed</t>
  </si>
  <si>
    <t>Has your firm been subjected to any enforcement action by a regulator over the last 12 months?</t>
  </si>
  <si>
    <t>Is there an overall enterprise approach to risk management and an aggregation of all risk types across the organization?</t>
  </si>
  <si>
    <t>Does your firm have a board-approved BCP for both IT and Business Operations and has the plan been tested?</t>
  </si>
  <si>
    <t>How often are BCP plans reviewed?</t>
  </si>
  <si>
    <t>Does the company carry out any form of data analysis in risk management and how frequently is this done?</t>
  </si>
  <si>
    <t>Kindly expound on losses you may have incurred from daily operations or fraudulent activities in the past 12 months.</t>
  </si>
  <si>
    <t>Corporate Governance</t>
  </si>
  <si>
    <t>Internal Audit</t>
  </si>
  <si>
    <t>Risk Management</t>
  </si>
  <si>
    <t>Access to Capital</t>
  </si>
  <si>
    <t>Kindly rank the amount of business in percentage, brought in by your different categories of clients.</t>
  </si>
  <si>
    <t>Do you offer discretionary portfolio management services?
Please specify</t>
  </si>
  <si>
    <t>What is your Paid-up Capital (Ordinary Share Capital) as at December 2022?</t>
  </si>
  <si>
    <t>What is your Paid-up Capital (Ordinary Share Capital) as at December 2021?</t>
  </si>
  <si>
    <t>Do you have a dividend pay-out policy?</t>
  </si>
  <si>
    <t>Do you review your dividend pay-out policy at least annually?</t>
  </si>
  <si>
    <t>What does the sales team do if a client requests for money management services?</t>
  </si>
  <si>
    <t>What role does management play with regard to the assessment of client risk profiling?</t>
  </si>
  <si>
    <t xml:space="preserve">What documents do you use for KYC checks and how are independent checks conducted? </t>
  </si>
  <si>
    <t>How does the risk profiling process of clients impact on the firm’s risk profile/appetite?</t>
  </si>
  <si>
    <t>Kindly indicate the different type of services offered to your clients and the platform used to access theses services.</t>
  </si>
  <si>
    <t>If you are a dealing broker. What was the amount of earnings made from dealing operations in 2022?</t>
  </si>
  <si>
    <t>What is the number of incidents of delays/failure in order execution within the year?</t>
  </si>
  <si>
    <t>Kindly outline any other marketing incentives given to clients with exception of credit/bonuses.</t>
  </si>
  <si>
    <t>Credit risk</t>
  </si>
  <si>
    <t>Do you have any policies that have provisions regarding borrowing levels?</t>
  </si>
  <si>
    <t>Are there information systems to ensure compliance with policies and procedures?</t>
  </si>
  <si>
    <t>In the year of review and on a month to month basis, has your liquid capital reduced to below 120% of the required minimum or reduced by 50% since the previous report to the Authority?</t>
  </si>
  <si>
    <t>Is there testing of effectiveness of disaster recovery plans and how often is the testing conducted?</t>
  </si>
  <si>
    <t>Do you have a strategic plan which is approved by the Board?</t>
  </si>
  <si>
    <t xml:space="preserve">Yes/No </t>
  </si>
  <si>
    <t xml:space="preserve">What is the firm’s market share with respect to its peers and has it changed in the past 12 months? </t>
  </si>
  <si>
    <t xml:space="preserve">Percentage  
</t>
  </si>
  <si>
    <t xml:space="preserve">Do you offer any specialized structured products which distinguishes the organization from others in the industry? </t>
  </si>
  <si>
    <t>Yes</t>
  </si>
  <si>
    <t>Nil</t>
  </si>
  <si>
    <t>No</t>
  </si>
  <si>
    <t>Advise the client that we do not offer Money Management Services.</t>
  </si>
  <si>
    <t>N/A</t>
  </si>
  <si>
    <t>3days</t>
  </si>
  <si>
    <t>Mpesa withdrawals are instant. Other payments methods take 3 days</t>
  </si>
  <si>
    <t>The board holds quarterly board meetings</t>
  </si>
  <si>
    <t>Annually</t>
  </si>
  <si>
    <t xml:space="preserve">Yes </t>
  </si>
  <si>
    <t xml:space="preserve">The customer has to provide their details through our online onboarding platform and a Copy of their Identity and proof of address document. We also have an automated system that checks the document's authenticity. This is to prevent fraud. </t>
  </si>
  <si>
    <t> Yes</t>
  </si>
  <si>
    <t>Yes </t>
  </si>
  <si>
    <t> Annually</t>
  </si>
  <si>
    <t> As we are a cloud-native company, most of our approaches are based on versioning and redundancy.</t>
  </si>
  <si>
    <t>Guidance on the platform, products and fees. Provision of  market data and research generated by relevant desk</t>
  </si>
  <si>
    <t xml:space="preserve">As a market leader offering clients with the largest number of choice in terms of product. </t>
  </si>
  <si>
    <t>Retail - 70% 
Professional - 30%</t>
  </si>
  <si>
    <t xml:space="preserve">By senior management, Exco and the Board. </t>
  </si>
  <si>
    <t>Bi-annual</t>
  </si>
  <si>
    <t>As at September 2022</t>
  </si>
  <si>
    <t>At as September 2022</t>
  </si>
  <si>
    <t>Excess at as September 2022</t>
  </si>
  <si>
    <t>Excess at as December 2021</t>
  </si>
  <si>
    <t>The company has never declared any dividends</t>
  </si>
  <si>
    <t>Zero</t>
  </si>
  <si>
    <t>No dividend has been paid or proposed</t>
  </si>
  <si>
    <t>Kshs 137,353,712</t>
  </si>
  <si>
    <t>As at 31 December 2021</t>
  </si>
  <si>
    <t>74%</t>
  </si>
  <si>
    <t>Growth between 2020 and 2021</t>
  </si>
  <si>
    <t>The management determines suitable products for the clients to consider, taking into consideration clients' objective capacity as well as subjective willingness to take on risk.</t>
  </si>
  <si>
    <t>The firm conducts customer risk rating (CRR) when onbaoridng customers which categories each customer based on their risk profile.This helps the management to develop polices, processes and controls that will help the business to manage this risks that PMKL may be exposed to.It also helps the firm to understand customers’ behavior and attitude towards trading.</t>
  </si>
  <si>
    <t>Workings</t>
  </si>
  <si>
    <t>% Change</t>
  </si>
  <si>
    <t>Quintile 1</t>
  </si>
  <si>
    <t>Quintile 2</t>
  </si>
  <si>
    <t>Quintile 3</t>
  </si>
  <si>
    <t>Quintile 4</t>
  </si>
  <si>
    <t>Quintile 5</t>
  </si>
  <si>
    <t>Not Applicable</t>
  </si>
  <si>
    <t>%Change &gt;</t>
  </si>
  <si>
    <t>%Age</t>
  </si>
  <si>
    <t>capital as a %age of 30M</t>
  </si>
  <si>
    <t>Daily
Weekly
Monthly
Annually
No Buckups
N/A</t>
  </si>
  <si>
    <t>Retained Earnings to Shareholder Equity</t>
  </si>
  <si>
    <t>Any credit granted to clients?</t>
  </si>
  <si>
    <t>Do you have any strategy and policies to grant credit to clients</t>
  </si>
  <si>
    <t>Leverage risk</t>
  </si>
  <si>
    <t xml:space="preserve">Are there any complaints by clients when onboarding them for risk profiling purposes? </t>
  </si>
  <si>
    <t>Any complaints received from investors regarding sales experience</t>
  </si>
  <si>
    <t>Have you had any system down time within the last year?</t>
  </si>
  <si>
    <t>Any cases under investigation?</t>
  </si>
  <si>
    <t>What is the latest client loss ratio</t>
  </si>
  <si>
    <t>Has the lost ratio improved since last submission?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</si>
</sst>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00_);_(* \(#,##0.00\);_(* &quot;-&quot;??_);_(@_)"/>
    <numFmt numFmtId="165" formatCode="[$-C09]dd\-mmmm\-yyyy;@"/>
    <numFmt numFmtId="166" formatCode="_ * #,##0.00_ ;_ * \-#,##0.00_ ;_ * &quot;-&quot;??_ ;_ @_ "/>
    <numFmt numFmtId="167" formatCode="_-&quot;$&quot;* #,##0.00_-;\-&quot;$&quot;* #,##0.00_-;_-&quot;$&quot;* &quot;-&quot;??_-;_-@_-"/>
    <numFmt numFmtId="168" formatCode="_-* #,##0_-;\-* #,##0_-;_-* &quot;-&quot;??_-;_-@_-"/>
  </numFmts>
  <fonts count="25" x14ac:knownFonts="1">
    <font>
      <sz val="11"/>
      <color theme="1"/>
      <name val="Calibri"/>
      <family val="2"/>
      <scheme val="minor"/>
    </font>
    <font>
      <sz val="11"/>
      <color theme="1"/>
      <name val="Calibri"/>
      <family val="2"/>
      <scheme val="minor"/>
    </font>
    <font>
      <sz val="10"/>
      <name val="Arial"/>
      <family val="2"/>
    </font>
    <font>
      <sz val="11"/>
      <color theme="1"/>
      <name val="Arial"/>
      <family val="2"/>
    </font>
    <font>
      <b/>
      <sz val="10"/>
      <color theme="0"/>
      <name val="Arial"/>
      <family val="2"/>
    </font>
    <font>
      <sz val="10"/>
      <color theme="1"/>
      <name val="Arial"/>
      <family val="2"/>
    </font>
    <font>
      <b/>
      <sz val="12"/>
      <color rgb="FF663300"/>
      <name val="Arial"/>
      <family val="2"/>
    </font>
    <font>
      <sz val="10"/>
      <name val="Times New Roman"/>
      <family val="1"/>
    </font>
    <font>
      <sz val="10"/>
      <color theme="1" tint="4.9989318521683403E-2"/>
      <name val="Arial"/>
      <family val="2"/>
    </font>
    <font>
      <sz val="8"/>
      <name val="Calibri"/>
      <family val="2"/>
      <scheme val="minor"/>
    </font>
    <font>
      <sz val="11"/>
      <color indexed="8"/>
      <name val="Calibri"/>
      <family val="2"/>
    </font>
    <font>
      <sz val="11.5"/>
      <color theme="1"/>
      <name val="Corbel"/>
      <family val="2"/>
    </font>
    <font>
      <b/>
      <sz val="11.5"/>
      <color rgb="FF663300"/>
      <name val="Corbel"/>
      <family val="2"/>
    </font>
    <font>
      <b/>
      <sz val="11.5"/>
      <color theme="0"/>
      <name val="Corbel"/>
      <family val="2"/>
    </font>
    <font>
      <b/>
      <sz val="11.5"/>
      <color theme="1" tint="4.9989318521683403E-2"/>
      <name val="Corbel"/>
      <family val="2"/>
    </font>
    <font>
      <sz val="11.5"/>
      <color theme="1" tint="4.9989318521683403E-2"/>
      <name val="Corbel"/>
      <family val="2"/>
    </font>
    <font>
      <sz val="11.5"/>
      <name val="Corbel"/>
      <family val="2"/>
    </font>
    <font>
      <sz val="11.5"/>
      <color rgb="FFFF0000"/>
      <name val="Corbel"/>
      <family val="2"/>
    </font>
    <font>
      <b/>
      <sz val="11.5"/>
      <color theme="1"/>
      <name val="Corbel"/>
      <family val="2"/>
    </font>
    <font>
      <b/>
      <sz val="11.5"/>
      <color rgb="FFFF0000"/>
      <name val="Corbel"/>
      <family val="2"/>
    </font>
    <font>
      <b/>
      <sz val="11.5"/>
      <name val="Corbel"/>
      <family val="2"/>
    </font>
    <font>
      <sz val="12"/>
      <color theme="1"/>
      <name val="Corbel"/>
      <family val="2"/>
    </font>
    <font>
      <sz val="7"/>
      <color theme="1"/>
      <name val="Times New Roman"/>
      <family val="1"/>
    </font>
    <font>
      <sz val="11.5"/>
      <color rgb="FF0D0D0D"/>
      <name val="Corbel"/>
      <family val="2"/>
    </font>
    <font>
      <sz val="11"/>
      <color theme="1" tint="4.9989318521683403E-2"/>
      <name val="Arial"/>
      <family val="2"/>
    </font>
  </fonts>
  <fills count="11">
    <fill>
      <patternFill patternType="none"/>
    </fill>
    <fill>
      <patternFill patternType="gray125"/>
    </fill>
    <fill>
      <patternFill patternType="solid">
        <fgColor theme="0"/>
        <bgColor indexed="64"/>
      </patternFill>
    </fill>
    <fill>
      <patternFill patternType="solid">
        <fgColor rgb="FF996600"/>
        <bgColor indexed="64"/>
      </patternFill>
    </fill>
    <fill>
      <patternFill patternType="solid">
        <fgColor theme="0"/>
        <bgColor auto="1"/>
      </patternFill>
    </fill>
    <fill>
      <patternFill patternType="solid">
        <fgColor theme="0" tint="-0.14999847407452621"/>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rgb="FFFFFF00"/>
        <bgColor indexed="64"/>
      </patternFill>
    </fill>
    <fill>
      <patternFill patternType="solid">
        <fgColor rgb="FF95B3D7"/>
        <bgColor indexed="64"/>
      </patternFill>
    </fill>
    <fill>
      <patternFill patternType="solid">
        <fgColor theme="0" tint="-0.249977111117893"/>
        <bgColor indexed="64"/>
      </patternFill>
    </fill>
  </fills>
  <borders count="17">
    <border>
      <left/>
      <right/>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right style="medium">
        <color rgb="FFFFFFFF"/>
      </right>
      <top/>
      <bottom style="medium">
        <color rgb="FFFFFFFF"/>
      </bottom>
      <diagonal/>
    </border>
  </borders>
  <cellStyleXfs count="74">
    <xf numFmtId="165" fontId="0" fillId="0" borderId="0"/>
    <xf numFmtId="0" fontId="1" fillId="0" borderId="0"/>
    <xf numFmtId="0" fontId="2" fillId="0" borderId="0"/>
    <xf numFmtId="0" fontId="1" fillId="0" borderId="0"/>
    <xf numFmtId="43" fontId="1" fillId="0" borderId="0" applyFont="0" applyFill="0" applyBorder="0" applyAlignment="0" applyProtection="0"/>
    <xf numFmtId="166" fontId="1" fillId="0" borderId="0" applyFont="0" applyFill="0" applyBorder="0" applyAlignment="0" applyProtection="0"/>
    <xf numFmtId="0" fontId="7" fillId="0" borderId="0"/>
    <xf numFmtId="164" fontId="7" fillId="0" borderId="0" applyFont="0" applyFill="0" applyBorder="0" applyAlignment="0" applyProtection="0"/>
    <xf numFmtId="9" fontId="7" fillId="0" borderId="0" applyFont="0" applyFill="0" applyBorder="0" applyAlignment="0" applyProtection="0"/>
    <xf numFmtId="0" fontId="7" fillId="0" borderId="0"/>
    <xf numFmtId="0" fontId="1" fillId="0" borderId="0"/>
    <xf numFmtId="0" fontId="7" fillId="0" borderId="0"/>
    <xf numFmtId="43" fontId="7"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7" fillId="0" borderId="0" applyFont="0" applyFill="0" applyBorder="0" applyAlignment="0" applyProtection="0"/>
    <xf numFmtId="0" fontId="1" fillId="0" borderId="0"/>
    <xf numFmtId="0" fontId="2" fillId="0" borderId="0"/>
    <xf numFmtId="0" fontId="2" fillId="0" borderId="0"/>
    <xf numFmtId="0" fontId="2" fillId="0" borderId="0"/>
    <xf numFmtId="9" fontId="7" fillId="0" borderId="0" applyFont="0" applyFill="0" applyBorder="0" applyAlignment="0" applyProtection="0"/>
    <xf numFmtId="9" fontId="10" fillId="0" borderId="0" applyFont="0" applyFill="0" applyBorder="0" applyAlignment="0" applyProtection="0"/>
    <xf numFmtId="0" fontId="1"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4"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166" fontId="2" fillId="0" borderId="0" applyFont="0" applyFill="0" applyBorder="0" applyAlignment="0" applyProtection="0"/>
    <xf numFmtId="43" fontId="7"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 fillId="0" borderId="0" applyFont="0" applyFill="0" applyBorder="0" applyAlignment="0" applyProtection="0"/>
    <xf numFmtId="0" fontId="7"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2" fillId="0" borderId="0"/>
    <xf numFmtId="0" fontId="2" fillId="0" borderId="0"/>
    <xf numFmtId="43" fontId="2"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73">
    <xf numFmtId="165" fontId="0" fillId="0" borderId="0" xfId="0"/>
    <xf numFmtId="1" fontId="3" fillId="2" borderId="0" xfId="0" applyNumberFormat="1" applyFont="1" applyFill="1"/>
    <xf numFmtId="1" fontId="5" fillId="2" borderId="0" xfId="0" applyNumberFormat="1" applyFont="1" applyFill="1"/>
    <xf numFmtId="1" fontId="8" fillId="6" borderId="6" xfId="0" applyNumberFormat="1" applyFont="1" applyFill="1" applyBorder="1" applyAlignment="1">
      <alignment horizontal="left" vertical="center" wrapText="1"/>
    </xf>
    <xf numFmtId="165" fontId="8" fillId="6" borderId="6" xfId="0" applyFont="1" applyFill="1" applyBorder="1" applyAlignment="1">
      <alignment horizontal="left" vertical="center"/>
    </xf>
    <xf numFmtId="1" fontId="8" fillId="7" borderId="6" xfId="0" applyNumberFormat="1" applyFont="1" applyFill="1" applyBorder="1" applyAlignment="1">
      <alignment horizontal="left" wrapText="1"/>
    </xf>
    <xf numFmtId="1" fontId="2" fillId="6" borderId="6" xfId="0" applyNumberFormat="1" applyFont="1" applyFill="1" applyBorder="1" applyAlignment="1">
      <alignment horizontal="left" vertical="center" wrapText="1"/>
    </xf>
    <xf numFmtId="165" fontId="6" fillId="2" borderId="0" xfId="0" applyFont="1" applyFill="1" applyAlignment="1">
      <alignment horizontal="left"/>
    </xf>
    <xf numFmtId="1" fontId="4" fillId="3" borderId="6" xfId="0" applyNumberFormat="1" applyFont="1" applyFill="1" applyBorder="1" applyAlignment="1">
      <alignment horizontal="left" vertical="center" wrapText="1"/>
    </xf>
    <xf numFmtId="1" fontId="4" fillId="3" borderId="6" xfId="0" applyNumberFormat="1" applyFont="1" applyFill="1" applyBorder="1" applyAlignment="1">
      <alignment horizontal="center" vertical="center" wrapText="1"/>
    </xf>
    <xf numFmtId="1" fontId="8" fillId="6" borderId="6" xfId="0" applyNumberFormat="1" applyFont="1" applyFill="1" applyBorder="1" applyAlignment="1">
      <alignment vertical="center" wrapText="1"/>
    </xf>
    <xf numFmtId="1" fontId="2" fillId="6" borderId="6" xfId="0" applyNumberFormat="1" applyFont="1" applyFill="1" applyBorder="1" applyAlignment="1">
      <alignment vertical="center" wrapText="1"/>
    </xf>
    <xf numFmtId="1" fontId="8" fillId="8" borderId="6" xfId="0" applyNumberFormat="1" applyFont="1" applyFill="1" applyBorder="1" applyAlignment="1">
      <alignment horizontal="left" vertical="center" wrapText="1"/>
    </xf>
    <xf numFmtId="1" fontId="11" fillId="2" borderId="0" xfId="0" applyNumberFormat="1" applyFont="1" applyFill="1"/>
    <xf numFmtId="165" fontId="12" fillId="2" borderId="0" xfId="0" applyFont="1" applyFill="1" applyAlignment="1">
      <alignment horizontal="left"/>
    </xf>
    <xf numFmtId="1" fontId="13" fillId="3" borderId="6" xfId="0" applyNumberFormat="1" applyFont="1" applyFill="1" applyBorder="1" applyAlignment="1">
      <alignment horizontal="left" vertical="center" wrapText="1"/>
    </xf>
    <xf numFmtId="1" fontId="13" fillId="3" borderId="6" xfId="0" applyNumberFormat="1" applyFont="1" applyFill="1" applyBorder="1" applyAlignment="1">
      <alignment horizontal="center" vertical="center" wrapText="1"/>
    </xf>
    <xf numFmtId="165" fontId="14" fillId="6" borderId="8" xfId="0" applyFont="1" applyFill="1" applyBorder="1" applyAlignment="1">
      <alignment horizontal="left" vertical="top"/>
    </xf>
    <xf numFmtId="1" fontId="15" fillId="6" borderId="6" xfId="0" applyNumberFormat="1" applyFont="1" applyFill="1" applyBorder="1" applyAlignment="1">
      <alignment horizontal="left" vertical="center" wrapText="1"/>
    </xf>
    <xf numFmtId="1" fontId="15" fillId="7" borderId="6" xfId="0" applyNumberFormat="1" applyFont="1" applyFill="1" applyBorder="1" applyAlignment="1">
      <alignment horizontal="left" wrapText="1"/>
    </xf>
    <xf numFmtId="165" fontId="14" fillId="6" borderId="7" xfId="0" applyFont="1" applyFill="1" applyBorder="1" applyAlignment="1">
      <alignment horizontal="left" vertical="top"/>
    </xf>
    <xf numFmtId="1" fontId="16" fillId="6" borderId="6" xfId="0" applyNumberFormat="1" applyFont="1" applyFill="1" applyBorder="1" applyAlignment="1">
      <alignment horizontal="left" vertical="center" wrapText="1"/>
    </xf>
    <xf numFmtId="165" fontId="15" fillId="6" borderId="6" xfId="0" applyFont="1" applyFill="1" applyBorder="1" applyAlignment="1">
      <alignment horizontal="left" vertical="center"/>
    </xf>
    <xf numFmtId="1" fontId="14" fillId="5" borderId="6" xfId="0" applyNumberFormat="1" applyFont="1" applyFill="1" applyBorder="1" applyAlignment="1">
      <alignment horizontal="center"/>
    </xf>
    <xf numFmtId="165" fontId="11" fillId="0" borderId="0" xfId="0" applyFont="1"/>
    <xf numFmtId="165" fontId="15" fillId="5" borderId="6" xfId="0" applyFont="1" applyFill="1" applyBorder="1" applyAlignment="1">
      <alignment horizontal="left" vertical="center"/>
    </xf>
    <xf numFmtId="1" fontId="14" fillId="5" borderId="6" xfId="0" applyNumberFormat="1" applyFont="1" applyFill="1" applyBorder="1" applyAlignment="1">
      <alignment horizontal="right"/>
    </xf>
    <xf numFmtId="1" fontId="17" fillId="2" borderId="0" xfId="0" applyNumberFormat="1" applyFont="1" applyFill="1"/>
    <xf numFmtId="1" fontId="11" fillId="2" borderId="1" xfId="0" applyNumberFormat="1" applyFont="1" applyFill="1" applyBorder="1"/>
    <xf numFmtId="1" fontId="11" fillId="2" borderId="4" xfId="0" applyNumberFormat="1" applyFont="1" applyFill="1" applyBorder="1"/>
    <xf numFmtId="1" fontId="11" fillId="2" borderId="2" xfId="0" applyNumberFormat="1" applyFont="1" applyFill="1" applyBorder="1"/>
    <xf numFmtId="1" fontId="11" fillId="2" borderId="3" xfId="0" applyNumberFormat="1" applyFont="1" applyFill="1" applyBorder="1"/>
    <xf numFmtId="1" fontId="11" fillId="2" borderId="5" xfId="0" applyNumberFormat="1" applyFont="1" applyFill="1" applyBorder="1"/>
    <xf numFmtId="1" fontId="18" fillId="4" borderId="0" xfId="0" applyNumberFormat="1" applyFont="1" applyFill="1"/>
    <xf numFmtId="165" fontId="19" fillId="6" borderId="7" xfId="0" applyFont="1" applyFill="1" applyBorder="1" applyAlignment="1">
      <alignment horizontal="left" vertical="top"/>
    </xf>
    <xf numFmtId="1" fontId="20" fillId="6" borderId="8" xfId="0" applyNumberFormat="1" applyFont="1" applyFill="1" applyBorder="1" applyAlignment="1">
      <alignment horizontal="left" vertical="center" wrapText="1"/>
    </xf>
    <xf numFmtId="1" fontId="20" fillId="6" borderId="0" xfId="0" applyNumberFormat="1" applyFont="1" applyFill="1" applyAlignment="1">
      <alignment horizontal="left" vertical="center" wrapText="1"/>
    </xf>
    <xf numFmtId="165" fontId="20" fillId="6" borderId="7" xfId="0" applyFont="1" applyFill="1" applyBorder="1" applyAlignment="1">
      <alignment horizontal="left" vertical="top"/>
    </xf>
    <xf numFmtId="1" fontId="16" fillId="2" borderId="0" xfId="0" applyNumberFormat="1" applyFont="1" applyFill="1"/>
    <xf numFmtId="1" fontId="16" fillId="7" borderId="6" xfId="0" applyNumberFormat="1" applyFont="1" applyFill="1" applyBorder="1" applyAlignment="1">
      <alignment horizontal="left" wrapText="1"/>
    </xf>
    <xf numFmtId="165" fontId="0" fillId="2" borderId="0" xfId="0" applyFill="1"/>
    <xf numFmtId="1" fontId="15" fillId="6" borderId="9" xfId="0" applyNumberFormat="1" applyFont="1" applyFill="1" applyBorder="1" applyAlignment="1">
      <alignment horizontal="left" vertical="center" wrapText="1"/>
    </xf>
    <xf numFmtId="1" fontId="15" fillId="6" borderId="10" xfId="0" applyNumberFormat="1" applyFont="1" applyFill="1" applyBorder="1" applyAlignment="1">
      <alignment horizontal="left" vertical="center" wrapText="1"/>
    </xf>
    <xf numFmtId="1" fontId="15" fillId="6" borderId="11" xfId="0" applyNumberFormat="1" applyFont="1" applyFill="1" applyBorder="1" applyAlignment="1">
      <alignment horizontal="left" vertical="center" wrapText="1"/>
    </xf>
    <xf numFmtId="1" fontId="15" fillId="6" borderId="12" xfId="0" applyNumberFormat="1" applyFont="1" applyFill="1" applyBorder="1" applyAlignment="1">
      <alignment horizontal="left" vertical="center" wrapText="1"/>
    </xf>
    <xf numFmtId="168" fontId="15" fillId="7" borderId="6" xfId="72" applyNumberFormat="1" applyFont="1" applyFill="1" applyBorder="1" applyAlignment="1">
      <alignment horizontal="left" wrapText="1"/>
    </xf>
    <xf numFmtId="9" fontId="15" fillId="6" borderId="13" xfId="73" applyFont="1" applyFill="1" applyBorder="1" applyAlignment="1">
      <alignment horizontal="center" wrapText="1"/>
    </xf>
    <xf numFmtId="1" fontId="15" fillId="6" borderId="14" xfId="0" applyNumberFormat="1" applyFont="1" applyFill="1" applyBorder="1" applyAlignment="1">
      <alignment horizontal="left" vertical="center" wrapText="1"/>
    </xf>
    <xf numFmtId="168" fontId="15" fillId="6" borderId="15" xfId="72" applyNumberFormat="1" applyFont="1" applyFill="1" applyBorder="1" applyAlignment="1">
      <alignment horizontal="left" wrapText="1"/>
    </xf>
    <xf numFmtId="165" fontId="21" fillId="2" borderId="0" xfId="0" applyFont="1" applyFill="1" applyAlignment="1">
      <alignment vertical="center"/>
    </xf>
    <xf numFmtId="165" fontId="21" fillId="2" borderId="0" xfId="0" applyFont="1" applyFill="1" applyAlignment="1">
      <alignment horizontal="left" vertical="center" indent="1"/>
    </xf>
    <xf numFmtId="165" fontId="22" fillId="2" borderId="0" xfId="0" applyFont="1" applyFill="1" applyAlignment="1">
      <alignment horizontal="left" vertical="center" indent="9"/>
    </xf>
    <xf numFmtId="165" fontId="20" fillId="6" borderId="7" xfId="0" applyFont="1" applyFill="1" applyBorder="1" applyAlignment="1">
      <alignment horizontal="left" vertical="top" wrapText="1"/>
    </xf>
    <xf numFmtId="1" fontId="20" fillId="6" borderId="7" xfId="0" applyNumberFormat="1" applyFont="1" applyFill="1" applyBorder="1" applyAlignment="1">
      <alignment horizontal="left" vertical="center" wrapText="1"/>
    </xf>
    <xf numFmtId="1" fontId="20" fillId="5" borderId="6" xfId="0" applyNumberFormat="1" applyFont="1" applyFill="1" applyBorder="1" applyAlignment="1">
      <alignment horizontal="right"/>
    </xf>
    <xf numFmtId="1" fontId="15" fillId="7" borderId="6" xfId="0" applyNumberFormat="1" applyFont="1" applyFill="1" applyBorder="1" applyAlignment="1">
      <alignment horizontal="left" vertical="top" wrapText="1"/>
    </xf>
    <xf numFmtId="43" fontId="15" fillId="7" borderId="6" xfId="72" applyFont="1" applyFill="1" applyBorder="1" applyAlignment="1">
      <alignment horizontal="left" wrapText="1"/>
    </xf>
    <xf numFmtId="1" fontId="15" fillId="7" borderId="6" xfId="0" quotePrefix="1" applyNumberFormat="1" applyFont="1" applyFill="1" applyBorder="1" applyAlignment="1">
      <alignment horizontal="left" wrapText="1"/>
    </xf>
    <xf numFmtId="1" fontId="15" fillId="6" borderId="6" xfId="0" applyNumberFormat="1" applyFont="1" applyFill="1" applyBorder="1" applyAlignment="1">
      <alignment horizontal="left" vertical="top" wrapText="1"/>
    </xf>
    <xf numFmtId="1" fontId="16" fillId="6" borderId="6" xfId="0" applyNumberFormat="1" applyFont="1" applyFill="1" applyBorder="1" applyAlignment="1">
      <alignment horizontal="left" vertical="top" wrapText="1"/>
    </xf>
    <xf numFmtId="1" fontId="11" fillId="2" borderId="0" xfId="0" applyNumberFormat="1" applyFont="1" applyFill="1" applyAlignment="1">
      <alignment vertical="top"/>
    </xf>
    <xf numFmtId="1" fontId="16" fillId="2" borderId="0" xfId="0" applyNumberFormat="1" applyFont="1" applyFill="1" applyAlignment="1">
      <alignment vertical="top"/>
    </xf>
    <xf numFmtId="1" fontId="16" fillId="7" borderId="6" xfId="0" applyNumberFormat="1" applyFont="1" applyFill="1" applyBorder="1" applyAlignment="1">
      <alignment horizontal="left" vertical="top" wrapText="1"/>
    </xf>
    <xf numFmtId="165" fontId="16" fillId="6" borderId="6" xfId="0" applyFont="1" applyFill="1" applyBorder="1" applyAlignment="1">
      <alignment horizontal="left" vertical="top" wrapText="1"/>
    </xf>
    <xf numFmtId="165" fontId="23" fillId="9" borderId="16" xfId="0" applyFont="1" applyFill="1" applyBorder="1" applyAlignment="1">
      <alignment vertical="center" wrapText="1"/>
    </xf>
    <xf numFmtId="1" fontId="23" fillId="9" borderId="16" xfId="0" applyNumberFormat="1" applyFont="1" applyFill="1" applyBorder="1" applyAlignment="1">
      <alignment horizontal="left" vertical="top" wrapText="1"/>
    </xf>
    <xf numFmtId="9" fontId="11" fillId="10" borderId="0" xfId="73" applyFont="1" applyFill="1"/>
    <xf numFmtId="1" fontId="11" fillId="10" borderId="0" xfId="0" applyNumberFormat="1" applyFont="1" applyFill="1"/>
    <xf numFmtId="165" fontId="24" fillId="6" borderId="6" xfId="0" applyFont="1" applyFill="1" applyBorder="1" applyAlignment="1">
      <alignment horizontal="left"/>
    </xf>
    <xf numFmtId="1" fontId="24" fillId="6" borderId="6" xfId="0" applyNumberFormat="1" applyFont="1" applyFill="1" applyBorder="1" applyAlignment="1">
      <alignment horizontal="right"/>
    </xf>
    <xf numFmtId="1" fontId="16" fillId="10" borderId="0" xfId="0" applyNumberFormat="1" applyFont="1" applyFill="1"/>
    <xf numFmtId="9" fontId="15" fillId="7" borderId="6" xfId="73" quotePrefix="1" applyFont="1" applyFill="1" applyBorder="1" applyAlignment="1">
      <alignment horizontal="left" wrapText="1"/>
    </xf>
    <xf numFmtId="10" fontId="11" fillId="2" borderId="0" xfId="73" applyNumberFormat="1" applyFont="1" applyFill="1"/>
  </cellXfs>
  <cellStyles count="74">
    <cellStyle name="Comma" xfId="72" builtinId="3"/>
    <cellStyle name="Comma 2" xfId="5" xr:uid="{00000000-0005-0000-0000-000002000000}"/>
    <cellStyle name="Comma 2 11 2" xfId="48" xr:uid="{00000000-0005-0000-0000-000003000000}"/>
    <cellStyle name="Comma 2 2" xfId="24" xr:uid="{00000000-0005-0000-0000-000004000000}"/>
    <cellStyle name="Comma 2 2 2" xfId="55" xr:uid="{00000000-0005-0000-0000-000005000000}"/>
    <cellStyle name="Comma 2 3" xfId="25" xr:uid="{00000000-0005-0000-0000-000006000000}"/>
    <cellStyle name="Comma 2 3 2" xfId="56" xr:uid="{00000000-0005-0000-0000-000007000000}"/>
    <cellStyle name="Comma 2 4" xfId="26" xr:uid="{00000000-0005-0000-0000-000008000000}"/>
    <cellStyle name="Comma 2 4 2" xfId="57" xr:uid="{00000000-0005-0000-0000-000009000000}"/>
    <cellStyle name="Comma 2 5" xfId="71" xr:uid="{00000000-0005-0000-0000-00000A000000}"/>
    <cellStyle name="Comma 2 6" xfId="50" xr:uid="{00000000-0005-0000-0000-00000B000000}"/>
    <cellStyle name="Comma 2 7" xfId="13" xr:uid="{00000000-0005-0000-0000-00000C000000}"/>
    <cellStyle name="Comma 3" xfId="4" xr:uid="{00000000-0005-0000-0000-00000D000000}"/>
    <cellStyle name="Comma 3 2" xfId="27" xr:uid="{00000000-0005-0000-0000-00000E000000}"/>
    <cellStyle name="Comma 3 2 2" xfId="58" xr:uid="{00000000-0005-0000-0000-00000F000000}"/>
    <cellStyle name="Comma 3 3" xfId="28" xr:uid="{00000000-0005-0000-0000-000010000000}"/>
    <cellStyle name="Comma 3 3 2" xfId="59" xr:uid="{00000000-0005-0000-0000-000011000000}"/>
    <cellStyle name="Comma 3 4" xfId="29" xr:uid="{00000000-0005-0000-0000-000012000000}"/>
    <cellStyle name="Comma 3 4 2" xfId="60" xr:uid="{00000000-0005-0000-0000-000013000000}"/>
    <cellStyle name="Comma 3 5" xfId="51" xr:uid="{00000000-0005-0000-0000-000014000000}"/>
    <cellStyle name="Comma 3 6" xfId="14" xr:uid="{00000000-0005-0000-0000-000015000000}"/>
    <cellStyle name="Comma 4" xfId="7" xr:uid="{00000000-0005-0000-0000-000016000000}"/>
    <cellStyle name="Comma 4 2" xfId="30" xr:uid="{00000000-0005-0000-0000-000017000000}"/>
    <cellStyle name="Comma 4 2 2" xfId="61" xr:uid="{00000000-0005-0000-0000-000018000000}"/>
    <cellStyle name="Comma 4 3" xfId="31" xr:uid="{00000000-0005-0000-0000-000019000000}"/>
    <cellStyle name="Comma 4 3 2" xfId="62" xr:uid="{00000000-0005-0000-0000-00001A000000}"/>
    <cellStyle name="Comma 4 4" xfId="32" xr:uid="{00000000-0005-0000-0000-00001B000000}"/>
    <cellStyle name="Comma 4 4 2" xfId="63" xr:uid="{00000000-0005-0000-0000-00001C000000}"/>
    <cellStyle name="Comma 4 5" xfId="52" xr:uid="{00000000-0005-0000-0000-00001D000000}"/>
    <cellStyle name="Comma 4 6" xfId="15" xr:uid="{00000000-0005-0000-0000-00001E000000}"/>
    <cellStyle name="Comma 5" xfId="12" xr:uid="{00000000-0005-0000-0000-00001F000000}"/>
    <cellStyle name="Comma 5 2" xfId="49" xr:uid="{00000000-0005-0000-0000-000020000000}"/>
    <cellStyle name="Comma 6" xfId="33" xr:uid="{00000000-0005-0000-0000-000021000000}"/>
    <cellStyle name="Comma 6 2" xfId="64" xr:uid="{00000000-0005-0000-0000-000022000000}"/>
    <cellStyle name="Comma 7" xfId="34" xr:uid="{00000000-0005-0000-0000-000023000000}"/>
    <cellStyle name="Comma 7 2" xfId="65" xr:uid="{00000000-0005-0000-0000-000024000000}"/>
    <cellStyle name="Comma 8" xfId="35" xr:uid="{00000000-0005-0000-0000-000025000000}"/>
    <cellStyle name="Comma 8 2" xfId="66" xr:uid="{00000000-0005-0000-0000-000026000000}"/>
    <cellStyle name="Comma 9" xfId="53" xr:uid="{00000000-0005-0000-0000-000027000000}"/>
    <cellStyle name="Currency 2" xfId="16" xr:uid="{00000000-0005-0000-0000-000028000000}"/>
    <cellStyle name="Normal" xfId="0" builtinId="0"/>
    <cellStyle name="Normal 10" xfId="9" xr:uid="{00000000-0005-0000-0000-00002C000000}"/>
    <cellStyle name="Normal 10 2" xfId="68" xr:uid="{00000000-0005-0000-0000-00002D000000}"/>
    <cellStyle name="Normal 10 3" xfId="67" xr:uid="{00000000-0005-0000-0000-00002E000000}"/>
    <cellStyle name="Normal 10 4" xfId="54" xr:uid="{00000000-0005-0000-0000-00002F000000}"/>
    <cellStyle name="Normal 11" xfId="10" xr:uid="{00000000-0005-0000-0000-000030000000}"/>
    <cellStyle name="Normal 12" xfId="23" xr:uid="{00000000-0005-0000-0000-000031000000}"/>
    <cellStyle name="Normal 2" xfId="1" xr:uid="{00000000-0005-0000-0000-000032000000}"/>
    <cellStyle name="Normal 2 14" xfId="36" xr:uid="{00000000-0005-0000-0000-000033000000}"/>
    <cellStyle name="Normal 2 2" xfId="2" xr:uid="{00000000-0005-0000-0000-000034000000}"/>
    <cellStyle name="Normal 2 2 2" xfId="70" xr:uid="{00000000-0005-0000-0000-000035000000}"/>
    <cellStyle name="Normal 2 2 3" xfId="17" xr:uid="{00000000-0005-0000-0000-000036000000}"/>
    <cellStyle name="Normal 2 3" xfId="69" xr:uid="{00000000-0005-0000-0000-000037000000}"/>
    <cellStyle name="Normal 3" xfId="3" xr:uid="{00000000-0005-0000-0000-000038000000}"/>
    <cellStyle name="Normal 3 2" xfId="18" xr:uid="{00000000-0005-0000-0000-000039000000}"/>
    <cellStyle name="Normal 4" xfId="6" xr:uid="{00000000-0005-0000-0000-00003A000000}"/>
    <cellStyle name="Normal 5" xfId="19" xr:uid="{00000000-0005-0000-0000-00003B000000}"/>
    <cellStyle name="Normal 5 2" xfId="20" xr:uid="{00000000-0005-0000-0000-00003C000000}"/>
    <cellStyle name="Normal 6" xfId="11" xr:uid="{00000000-0005-0000-0000-00003D000000}"/>
    <cellStyle name="Normal 6 2" xfId="37" xr:uid="{00000000-0005-0000-0000-00003E000000}"/>
    <cellStyle name="Normal 6 2 2" xfId="38" xr:uid="{00000000-0005-0000-0000-00003F000000}"/>
    <cellStyle name="Normal 7" xfId="39" xr:uid="{00000000-0005-0000-0000-000040000000}"/>
    <cellStyle name="Normal 8" xfId="40" xr:uid="{00000000-0005-0000-0000-000041000000}"/>
    <cellStyle name="Normal 9" xfId="41" xr:uid="{00000000-0005-0000-0000-000042000000}"/>
    <cellStyle name="Percent" xfId="73" builtinId="5"/>
    <cellStyle name="Percent 2" xfId="8" xr:uid="{00000000-0005-0000-0000-000044000000}"/>
    <cellStyle name="Percent 2 2" xfId="42" xr:uid="{00000000-0005-0000-0000-000045000000}"/>
    <cellStyle name="Percent 2 3" xfId="43" xr:uid="{00000000-0005-0000-0000-000046000000}"/>
    <cellStyle name="Percent 2 4" xfId="44" xr:uid="{00000000-0005-0000-0000-000047000000}"/>
    <cellStyle name="Percent 2 5" xfId="22" xr:uid="{00000000-0005-0000-0000-000048000000}"/>
    <cellStyle name="Percent 3" xfId="21" xr:uid="{00000000-0005-0000-0000-000049000000}"/>
    <cellStyle name="Percent 4" xfId="45" xr:uid="{00000000-0005-0000-0000-00004A000000}"/>
    <cellStyle name="Percent 5" xfId="46" xr:uid="{00000000-0005-0000-0000-00004B000000}"/>
    <cellStyle name="Percent 6" xfId="47" xr:uid="{00000000-0005-0000-0000-00004C000000}"/>
  </cellStyles>
  <dxfs count="0"/>
  <tableStyles count="0" defaultTableStyle="TableStyleMedium2" defaultPivotStyle="PivotStyleLight16"/>
  <colors>
    <mruColors>
      <color rgb="FFE81818"/>
      <color rgb="FF996600"/>
      <color rgb="FF663300"/>
      <color rgb="FF996633"/>
      <color rgb="FFFFFFCC"/>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Navigation Page'!A1"/></Relationships>
</file>

<file path=xl/drawings/drawing1.xml><?xml version="1.0" encoding="utf-8"?>
<xdr:wsDr xmlns:xdr="http://schemas.openxmlformats.org/drawingml/2006/spreadsheetDrawing" xmlns:a="http://schemas.openxmlformats.org/drawingml/2006/main">
  <xdr:twoCellAnchor>
    <xdr:from>
      <xdr:col>2</xdr:col>
      <xdr:colOff>0</xdr:colOff>
      <xdr:row>109</xdr:row>
      <xdr:rowOff>0</xdr:rowOff>
    </xdr:from>
    <xdr:to>
      <xdr:col>2</xdr:col>
      <xdr:colOff>27094</xdr:colOff>
      <xdr:row>110</xdr:row>
      <xdr:rowOff>5080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4C4AFFBA-6FBC-44BF-995C-FB69CFD21078}"/>
            </a:ext>
          </a:extLst>
        </xdr:cNvPr>
        <xdr:cNvSpPr/>
      </xdr:nvSpPr>
      <xdr:spPr>
        <a:xfrm>
          <a:off x="7753350" y="30226000"/>
          <a:ext cx="1119294" cy="386080"/>
        </a:xfrm>
        <a:prstGeom prst="roundRect">
          <a:avLst/>
        </a:prstGeom>
        <a:solidFill>
          <a:schemeClr val="bg2">
            <a:lumMod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000">
              <a:latin typeface="Arial Narrow" panose="020B0606020202030204" pitchFamily="34" charset="0"/>
            </a:rPr>
            <a:t>Navigation Page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1A824-3C3A-4106-8517-F96D54159F39}">
  <sheetPr codeName="Sheet36">
    <tabColor theme="3" tint="0.59999389629810485"/>
  </sheetPr>
  <dimension ref="B1:O7365"/>
  <sheetViews>
    <sheetView zoomScale="85" zoomScaleNormal="85" zoomScalePageLayoutView="90" workbookViewId="0">
      <pane ySplit="3" topLeftCell="A4" activePane="bottomLeft" state="frozen"/>
      <selection activeCell="B1" sqref="B1"/>
      <selection pane="bottomLeft" activeCell="G10" sqref="G10"/>
    </sheetView>
  </sheetViews>
  <sheetFormatPr defaultColWidth="7" defaultRowHeight="15" x14ac:dyDescent="0.35"/>
  <cols>
    <col min="1" max="1" width="4.1796875" style="13" customWidth="1"/>
    <col min="2" max="2" width="24.1796875" style="22" bestFit="1" customWidth="1"/>
    <col min="3" max="3" width="68.7265625" style="22" customWidth="1"/>
    <col min="4" max="4" width="17.453125" style="22" customWidth="1"/>
    <col min="5" max="5" width="29.36328125" style="22" customWidth="1"/>
    <col min="6" max="6" width="20.81640625" style="22" customWidth="1"/>
    <col min="7" max="7" width="22.6328125" style="13" customWidth="1"/>
    <col min="8" max="12" width="7" style="13"/>
    <col min="13" max="13" width="14.1796875" style="13" bestFit="1" customWidth="1"/>
    <col min="14" max="14" width="3.1796875" style="13" bestFit="1" customWidth="1"/>
    <col min="15" max="15" width="11.08984375" style="13" bestFit="1" customWidth="1"/>
    <col min="16" max="16308" width="7" style="13"/>
    <col min="16309" max="16384" width="10" style="13" customWidth="1"/>
  </cols>
  <sheetData>
    <row r="1" spans="2:15" x14ac:dyDescent="0.35">
      <c r="B1" s="13"/>
      <c r="C1" s="13"/>
      <c r="D1" s="13"/>
      <c r="E1" s="13"/>
      <c r="F1" s="13"/>
    </row>
    <row r="2" spans="2:15" x14ac:dyDescent="0.35">
      <c r="B2" s="14" t="s">
        <v>57</v>
      </c>
      <c r="C2" s="13"/>
      <c r="D2" s="13"/>
      <c r="E2" s="13"/>
      <c r="F2" s="13"/>
    </row>
    <row r="3" spans="2:15" x14ac:dyDescent="0.35">
      <c r="B3" s="15" t="s">
        <v>9</v>
      </c>
      <c r="C3" s="16" t="s">
        <v>130</v>
      </c>
      <c r="D3" s="16" t="s">
        <v>60</v>
      </c>
      <c r="E3" s="16" t="s">
        <v>131</v>
      </c>
      <c r="F3" s="15" t="s">
        <v>81</v>
      </c>
      <c r="G3" s="13" t="s">
        <v>256</v>
      </c>
    </row>
    <row r="4" spans="2:15" x14ac:dyDescent="0.35">
      <c r="B4" s="17" t="s">
        <v>10</v>
      </c>
      <c r="C4" s="18" t="s">
        <v>150</v>
      </c>
      <c r="D4" s="18" t="s">
        <v>62</v>
      </c>
      <c r="E4" s="19">
        <v>11658</v>
      </c>
      <c r="F4" s="19" t="s">
        <v>243</v>
      </c>
      <c r="G4" s="13" t="s">
        <v>257</v>
      </c>
      <c r="H4" s="66">
        <f>(E4-E5)/E5</f>
        <v>1.5849223946784923</v>
      </c>
      <c r="M4" s="68" t="s">
        <v>258</v>
      </c>
      <c r="N4" s="69">
        <v>4</v>
      </c>
      <c r="O4" s="13" t="s">
        <v>264</v>
      </c>
    </row>
    <row r="5" spans="2:15" x14ac:dyDescent="0.35">
      <c r="B5" s="20"/>
      <c r="C5" s="18" t="s">
        <v>151</v>
      </c>
      <c r="D5" s="18" t="s">
        <v>62</v>
      </c>
      <c r="E5" s="19">
        <v>4510</v>
      </c>
      <c r="F5" s="19"/>
      <c r="M5" s="68" t="s">
        <v>259</v>
      </c>
      <c r="N5" s="69">
        <v>3</v>
      </c>
    </row>
    <row r="6" spans="2:15" x14ac:dyDescent="0.35">
      <c r="B6" s="20"/>
      <c r="C6" s="18" t="s">
        <v>148</v>
      </c>
      <c r="D6" s="18" t="s">
        <v>62</v>
      </c>
      <c r="E6" s="19">
        <v>5</v>
      </c>
      <c r="F6" s="19" t="s">
        <v>243</v>
      </c>
      <c r="G6" s="13" t="s">
        <v>257</v>
      </c>
      <c r="H6" s="66">
        <f>(E6-E7)/E7</f>
        <v>0.66666666666666663</v>
      </c>
      <c r="M6" s="68" t="s">
        <v>260</v>
      </c>
      <c r="N6" s="69">
        <v>2</v>
      </c>
    </row>
    <row r="7" spans="2:15" x14ac:dyDescent="0.35">
      <c r="B7" s="20"/>
      <c r="C7" s="18" t="s">
        <v>149</v>
      </c>
      <c r="D7" s="18" t="s">
        <v>62</v>
      </c>
      <c r="E7" s="19">
        <v>3</v>
      </c>
      <c r="F7" s="19"/>
      <c r="M7" s="68" t="s">
        <v>261</v>
      </c>
      <c r="N7" s="69">
        <v>1</v>
      </c>
    </row>
    <row r="8" spans="2:15" ht="30" x14ac:dyDescent="0.35">
      <c r="B8" s="20"/>
      <c r="C8" s="18" t="s">
        <v>121</v>
      </c>
      <c r="D8" s="18" t="s">
        <v>62</v>
      </c>
      <c r="E8" s="19">
        <v>2523</v>
      </c>
      <c r="F8" s="19" t="s">
        <v>243</v>
      </c>
      <c r="G8" s="13" t="s">
        <v>257</v>
      </c>
      <c r="H8" s="66">
        <f>(E8-E9)/E9</f>
        <v>1.2853260869565217</v>
      </c>
      <c r="M8" s="68" t="s">
        <v>262</v>
      </c>
      <c r="N8" s="69">
        <v>0</v>
      </c>
    </row>
    <row r="9" spans="2:15" ht="30" x14ac:dyDescent="0.35">
      <c r="B9" s="20"/>
      <c r="C9" s="18" t="s">
        <v>122</v>
      </c>
      <c r="D9" s="18" t="s">
        <v>62</v>
      </c>
      <c r="E9" s="19">
        <v>1104</v>
      </c>
      <c r="F9" s="19" t="s">
        <v>243</v>
      </c>
      <c r="M9" s="68" t="s">
        <v>263</v>
      </c>
      <c r="N9" s="69" t="s">
        <v>224</v>
      </c>
    </row>
    <row r="10" spans="2:15" ht="30" x14ac:dyDescent="0.35">
      <c r="B10" s="20"/>
      <c r="C10" s="18" t="s">
        <v>95</v>
      </c>
      <c r="D10" s="18" t="s">
        <v>62</v>
      </c>
      <c r="E10" s="19" t="s">
        <v>227</v>
      </c>
      <c r="F10" s="19"/>
      <c r="H10" s="67" t="str">
        <f>E10</f>
        <v>N/A</v>
      </c>
    </row>
    <row r="11" spans="2:15" x14ac:dyDescent="0.35">
      <c r="B11" s="20"/>
      <c r="C11" s="21" t="s">
        <v>63</v>
      </c>
      <c r="D11" s="21" t="s">
        <v>65</v>
      </c>
      <c r="E11" s="19" t="s">
        <v>223</v>
      </c>
      <c r="F11" s="19"/>
      <c r="H11" s="67" t="str">
        <f>E11</f>
        <v>Yes</v>
      </c>
    </row>
    <row r="12" spans="2:15" ht="30" x14ac:dyDescent="0.35">
      <c r="B12" s="20"/>
      <c r="C12" s="21" t="s">
        <v>96</v>
      </c>
      <c r="D12" s="21" t="s">
        <v>65</v>
      </c>
      <c r="E12" s="19" t="s">
        <v>223</v>
      </c>
      <c r="F12" s="19"/>
      <c r="H12" s="67" t="str">
        <f>E12</f>
        <v>Yes</v>
      </c>
    </row>
    <row r="13" spans="2:15" x14ac:dyDescent="0.35">
      <c r="B13" s="20"/>
      <c r="C13" s="21" t="s">
        <v>97</v>
      </c>
      <c r="D13" s="21" t="s">
        <v>65</v>
      </c>
      <c r="E13" s="19" t="s">
        <v>223</v>
      </c>
      <c r="F13" s="19"/>
      <c r="H13" s="67" t="str">
        <f>E13</f>
        <v>Yes</v>
      </c>
    </row>
    <row r="14" spans="2:15" ht="135" x14ac:dyDescent="0.35">
      <c r="B14" s="20"/>
      <c r="C14" s="21" t="s">
        <v>207</v>
      </c>
      <c r="D14" s="21" t="s">
        <v>184</v>
      </c>
      <c r="E14" s="19" t="s">
        <v>233</v>
      </c>
      <c r="F14" s="19"/>
    </row>
    <row r="15" spans="2:15" ht="90" x14ac:dyDescent="0.35">
      <c r="B15" s="20"/>
      <c r="C15" s="21" t="s">
        <v>206</v>
      </c>
      <c r="D15" s="21" t="s">
        <v>184</v>
      </c>
      <c r="E15" s="19" t="s">
        <v>254</v>
      </c>
      <c r="F15" s="19"/>
    </row>
    <row r="16" spans="2:15" ht="180" x14ac:dyDescent="0.35">
      <c r="B16" s="20"/>
      <c r="C16" s="21" t="s">
        <v>208</v>
      </c>
      <c r="D16" s="21" t="s">
        <v>184</v>
      </c>
      <c r="E16" s="19" t="s">
        <v>255</v>
      </c>
      <c r="F16" s="19"/>
    </row>
    <row r="17" spans="2:8" x14ac:dyDescent="0.35">
      <c r="B17" s="25"/>
      <c r="C17" s="54"/>
      <c r="D17" s="54"/>
      <c r="E17" s="23"/>
      <c r="F17" s="23"/>
    </row>
    <row r="18" spans="2:8" x14ac:dyDescent="0.35">
      <c r="B18" s="37" t="s">
        <v>123</v>
      </c>
      <c r="C18" s="21" t="s">
        <v>124</v>
      </c>
      <c r="D18" s="21" t="s">
        <v>65</v>
      </c>
      <c r="E18" s="19" t="s">
        <v>223</v>
      </c>
      <c r="F18" s="19"/>
      <c r="H18" s="67" t="str">
        <f>E18</f>
        <v>Yes</v>
      </c>
    </row>
    <row r="19" spans="2:8" x14ac:dyDescent="0.35">
      <c r="B19" s="34"/>
      <c r="C19" s="21" t="s">
        <v>125</v>
      </c>
      <c r="D19" s="21" t="s">
        <v>65</v>
      </c>
      <c r="E19" s="19" t="s">
        <v>223</v>
      </c>
      <c r="F19" s="19"/>
      <c r="H19" s="67" t="str">
        <f t="shared" ref="H19:H21" si="0">E19</f>
        <v>Yes</v>
      </c>
    </row>
    <row r="20" spans="2:8" ht="30" x14ac:dyDescent="0.35">
      <c r="B20" s="34"/>
      <c r="C20" s="21" t="s">
        <v>127</v>
      </c>
      <c r="D20" s="21" t="s">
        <v>65</v>
      </c>
      <c r="E20" s="19" t="s">
        <v>223</v>
      </c>
      <c r="F20" s="19"/>
      <c r="H20" s="67" t="str">
        <f t="shared" si="0"/>
        <v>Yes</v>
      </c>
    </row>
    <row r="21" spans="2:8" x14ac:dyDescent="0.35">
      <c r="B21" s="20"/>
      <c r="C21" s="21" t="s">
        <v>126</v>
      </c>
      <c r="D21" s="21" t="s">
        <v>62</v>
      </c>
      <c r="E21" s="19" t="s">
        <v>224</v>
      </c>
      <c r="F21" s="19"/>
      <c r="H21" s="67" t="str">
        <f t="shared" si="0"/>
        <v>Nil</v>
      </c>
    </row>
    <row r="22" spans="2:8" ht="30" x14ac:dyDescent="0.35">
      <c r="B22" s="20"/>
      <c r="C22" s="21" t="s">
        <v>200</v>
      </c>
      <c r="D22" s="21" t="s">
        <v>65</v>
      </c>
      <c r="E22" s="19" t="s">
        <v>225</v>
      </c>
      <c r="F22" s="19"/>
    </row>
    <row r="23" spans="2:8" ht="45" x14ac:dyDescent="0.35">
      <c r="B23" s="20"/>
      <c r="C23" s="21" t="s">
        <v>205</v>
      </c>
      <c r="D23" s="21" t="s">
        <v>184</v>
      </c>
      <c r="E23" s="19" t="s">
        <v>226</v>
      </c>
      <c r="F23" s="19"/>
    </row>
    <row r="24" spans="2:8" ht="60" x14ac:dyDescent="0.35">
      <c r="B24" s="20"/>
      <c r="C24" s="21" t="s">
        <v>209</v>
      </c>
      <c r="D24" s="21" t="s">
        <v>184</v>
      </c>
      <c r="E24" s="19" t="s">
        <v>238</v>
      </c>
      <c r="F24" s="19"/>
    </row>
    <row r="25" spans="2:8" ht="45" x14ac:dyDescent="0.35">
      <c r="B25" s="20"/>
      <c r="C25" s="21" t="s">
        <v>183</v>
      </c>
      <c r="D25" s="21" t="s">
        <v>184</v>
      </c>
      <c r="E25" s="19" t="s">
        <v>239</v>
      </c>
      <c r="F25" s="19"/>
    </row>
    <row r="26" spans="2:8" x14ac:dyDescent="0.35">
      <c r="B26" s="25"/>
      <c r="C26" s="54"/>
      <c r="D26" s="54"/>
      <c r="E26" s="23"/>
      <c r="F26" s="23"/>
    </row>
    <row r="27" spans="2:8" ht="30" x14ac:dyDescent="0.35">
      <c r="B27" s="35" t="s">
        <v>11</v>
      </c>
      <c r="C27" s="21" t="s">
        <v>116</v>
      </c>
      <c r="D27" s="21" t="s">
        <v>65</v>
      </c>
      <c r="E27" s="19" t="s">
        <v>223</v>
      </c>
      <c r="F27" s="19"/>
      <c r="H27" s="67" t="str">
        <f>E27</f>
        <v>Yes</v>
      </c>
    </row>
    <row r="28" spans="2:8" ht="30" x14ac:dyDescent="0.35">
      <c r="B28" s="20"/>
      <c r="C28" s="21" t="s">
        <v>100</v>
      </c>
      <c r="D28" s="21" t="s">
        <v>65</v>
      </c>
      <c r="E28" s="19" t="s">
        <v>225</v>
      </c>
      <c r="F28" s="19"/>
      <c r="H28" s="67" t="str">
        <f t="shared" ref="H28:H32" si="1">E28</f>
        <v>No</v>
      </c>
    </row>
    <row r="29" spans="2:8" x14ac:dyDescent="0.35">
      <c r="B29" s="20"/>
      <c r="C29" s="21" t="s">
        <v>101</v>
      </c>
      <c r="D29" s="21" t="s">
        <v>62</v>
      </c>
      <c r="E29" s="19" t="s">
        <v>224</v>
      </c>
      <c r="F29" s="19"/>
      <c r="H29" s="67" t="str">
        <f t="shared" si="1"/>
        <v>Nil</v>
      </c>
    </row>
    <row r="30" spans="2:8" x14ac:dyDescent="0.35">
      <c r="B30" s="20"/>
      <c r="C30" s="21" t="s">
        <v>102</v>
      </c>
      <c r="D30" s="21" t="s">
        <v>61</v>
      </c>
      <c r="E30" s="19" t="s">
        <v>224</v>
      </c>
      <c r="F30" s="19"/>
      <c r="H30" s="67" t="str">
        <f t="shared" si="1"/>
        <v>Nil</v>
      </c>
    </row>
    <row r="31" spans="2:8" s="38" customFormat="1" x14ac:dyDescent="0.35">
      <c r="B31" s="37"/>
      <c r="C31" s="21" t="s">
        <v>117</v>
      </c>
      <c r="D31" s="21" t="s">
        <v>62</v>
      </c>
      <c r="E31" s="39" t="s">
        <v>224</v>
      </c>
      <c r="F31" s="39"/>
      <c r="H31" s="67" t="str">
        <f t="shared" si="1"/>
        <v>Nil</v>
      </c>
    </row>
    <row r="32" spans="2:8" s="38" customFormat="1" ht="30" x14ac:dyDescent="0.35">
      <c r="B32" s="37"/>
      <c r="C32" s="21" t="s">
        <v>210</v>
      </c>
      <c r="D32" s="21" t="s">
        <v>62</v>
      </c>
      <c r="E32" s="39" t="s">
        <v>227</v>
      </c>
      <c r="F32" s="39"/>
      <c r="H32" s="67" t="str">
        <f t="shared" si="1"/>
        <v>N/A</v>
      </c>
    </row>
    <row r="33" spans="2:8" x14ac:dyDescent="0.35">
      <c r="B33" s="25"/>
      <c r="C33" s="54"/>
      <c r="D33" s="54"/>
      <c r="E33" s="23"/>
      <c r="F33" s="23"/>
    </row>
    <row r="34" spans="2:8" s="38" customFormat="1" ht="30" x14ac:dyDescent="0.35">
      <c r="B34" s="35" t="s">
        <v>118</v>
      </c>
      <c r="C34" s="21" t="s">
        <v>129</v>
      </c>
      <c r="D34" s="21" t="s">
        <v>65</v>
      </c>
      <c r="E34" s="39" t="s">
        <v>225</v>
      </c>
      <c r="F34" s="39"/>
      <c r="H34" s="70" t="str">
        <f>E34</f>
        <v>No</v>
      </c>
    </row>
    <row r="35" spans="2:8" s="38" customFormat="1" ht="30" x14ac:dyDescent="0.35">
      <c r="B35" s="53"/>
      <c r="C35" s="21" t="s">
        <v>211</v>
      </c>
      <c r="D35" s="21" t="s">
        <v>62</v>
      </c>
      <c r="E35" s="39" t="s">
        <v>227</v>
      </c>
      <c r="F35" s="39"/>
      <c r="H35" s="70" t="str">
        <f t="shared" ref="H35:H37" si="2">E35</f>
        <v>N/A</v>
      </c>
    </row>
    <row r="36" spans="2:8" s="38" customFormat="1" x14ac:dyDescent="0.35">
      <c r="B36" s="37"/>
      <c r="C36" s="21" t="s">
        <v>120</v>
      </c>
      <c r="D36" s="21" t="s">
        <v>65</v>
      </c>
      <c r="E36" s="39" t="s">
        <v>223</v>
      </c>
      <c r="F36" s="39"/>
      <c r="H36" s="70" t="str">
        <f t="shared" si="2"/>
        <v>Yes</v>
      </c>
    </row>
    <row r="37" spans="2:8" s="38" customFormat="1" x14ac:dyDescent="0.35">
      <c r="B37" s="37"/>
      <c r="C37" s="21" t="s">
        <v>128</v>
      </c>
      <c r="D37" s="21" t="s">
        <v>65</v>
      </c>
      <c r="E37" s="39" t="s">
        <v>225</v>
      </c>
      <c r="F37" s="39"/>
      <c r="H37" s="70" t="str">
        <f t="shared" si="2"/>
        <v>No</v>
      </c>
    </row>
    <row r="38" spans="2:8" s="38" customFormat="1" ht="30" x14ac:dyDescent="0.35">
      <c r="B38" s="37"/>
      <c r="C38" s="21" t="s">
        <v>212</v>
      </c>
      <c r="D38" s="21" t="s">
        <v>107</v>
      </c>
      <c r="E38" s="39" t="s">
        <v>227</v>
      </c>
      <c r="F38" s="39"/>
    </row>
    <row r="39" spans="2:8" s="38" customFormat="1" ht="30" x14ac:dyDescent="0.35">
      <c r="B39" s="37"/>
      <c r="C39" s="21" t="s">
        <v>194</v>
      </c>
      <c r="D39" s="21" t="s">
        <v>107</v>
      </c>
      <c r="E39" s="39" t="s">
        <v>227</v>
      </c>
      <c r="F39" s="39"/>
    </row>
    <row r="40" spans="2:8" x14ac:dyDescent="0.35">
      <c r="B40" s="25"/>
      <c r="C40" s="54"/>
      <c r="D40" s="54"/>
      <c r="E40" s="23"/>
      <c r="F40" s="23"/>
    </row>
    <row r="41" spans="2:8" ht="30" x14ac:dyDescent="0.35">
      <c r="B41" s="35" t="s">
        <v>119</v>
      </c>
      <c r="C41" s="21" t="s">
        <v>103</v>
      </c>
      <c r="D41" s="21" t="s">
        <v>62</v>
      </c>
      <c r="E41" s="19">
        <v>0</v>
      </c>
      <c r="F41" s="19"/>
      <c r="H41" s="67">
        <f>E41</f>
        <v>0</v>
      </c>
    </row>
    <row r="42" spans="2:8" ht="60" x14ac:dyDescent="0.35">
      <c r="B42" s="36"/>
      <c r="C42" s="21" t="s">
        <v>104</v>
      </c>
      <c r="D42" s="21" t="s">
        <v>105</v>
      </c>
      <c r="E42" s="19" t="s">
        <v>228</v>
      </c>
      <c r="F42" s="19" t="s">
        <v>229</v>
      </c>
      <c r="H42" s="67" t="str">
        <f>E42</f>
        <v>3days</v>
      </c>
    </row>
    <row r="43" spans="2:8" x14ac:dyDescent="0.35">
      <c r="B43" s="13"/>
      <c r="C43" s="13"/>
      <c r="D43" s="13"/>
      <c r="E43" s="13"/>
      <c r="F43" s="13"/>
    </row>
    <row r="44" spans="2:8" x14ac:dyDescent="0.35">
      <c r="B44" s="13"/>
      <c r="C44" s="13"/>
      <c r="D44" s="13"/>
      <c r="E44" s="13"/>
      <c r="F44" s="13"/>
    </row>
    <row r="45" spans="2:8" x14ac:dyDescent="0.35">
      <c r="B45" s="13"/>
      <c r="C45" s="13"/>
      <c r="D45" s="13"/>
      <c r="E45" s="13"/>
      <c r="F45" s="13"/>
    </row>
    <row r="46" spans="2:8" x14ac:dyDescent="0.35">
      <c r="B46" s="13"/>
      <c r="C46" s="13"/>
      <c r="D46" s="13"/>
      <c r="E46" s="13"/>
      <c r="F46" s="13"/>
    </row>
    <row r="47" spans="2:8" x14ac:dyDescent="0.35">
      <c r="B47" s="13"/>
      <c r="C47" s="13"/>
      <c r="D47" s="13"/>
      <c r="E47" s="13"/>
      <c r="F47" s="13"/>
    </row>
    <row r="48" spans="2:8" x14ac:dyDescent="0.35">
      <c r="B48" s="13"/>
      <c r="C48" s="13"/>
      <c r="D48" s="13"/>
      <c r="E48" s="13"/>
      <c r="F48" s="13"/>
    </row>
    <row r="49" s="13" customFormat="1" x14ac:dyDescent="0.35"/>
    <row r="50" s="13" customFormat="1" x14ac:dyDescent="0.35"/>
    <row r="51" s="13" customFormat="1" x14ac:dyDescent="0.35"/>
    <row r="52" s="13" customFormat="1" x14ac:dyDescent="0.35"/>
    <row r="53" s="13" customFormat="1" x14ac:dyDescent="0.35"/>
    <row r="54" s="13" customFormat="1" x14ac:dyDescent="0.35"/>
    <row r="55" s="13" customFormat="1" x14ac:dyDescent="0.35"/>
    <row r="56" s="13" customFormat="1" x14ac:dyDescent="0.35"/>
    <row r="57" s="13" customFormat="1" x14ac:dyDescent="0.35"/>
    <row r="58" s="13" customFormat="1" x14ac:dyDescent="0.35"/>
    <row r="59" s="13" customFormat="1" x14ac:dyDescent="0.35"/>
    <row r="60" s="13" customFormat="1" x14ac:dyDescent="0.35"/>
    <row r="61" s="13" customFormat="1" x14ac:dyDescent="0.35"/>
    <row r="62" s="13" customFormat="1" x14ac:dyDescent="0.35"/>
    <row r="63" s="13" customFormat="1" x14ac:dyDescent="0.35"/>
    <row r="64" s="13" customFormat="1" x14ac:dyDescent="0.35"/>
    <row r="65" s="13" customFormat="1" x14ac:dyDescent="0.35"/>
    <row r="66" s="13" customFormat="1" x14ac:dyDescent="0.35"/>
    <row r="67" s="13" customFormat="1" x14ac:dyDescent="0.35"/>
    <row r="68" s="13" customFormat="1" x14ac:dyDescent="0.35"/>
    <row r="69" s="13" customFormat="1" x14ac:dyDescent="0.35"/>
    <row r="70" s="13" customFormat="1" x14ac:dyDescent="0.35"/>
    <row r="71" s="13" customFormat="1" x14ac:dyDescent="0.35"/>
    <row r="72" s="13" customFormat="1" x14ac:dyDescent="0.35"/>
    <row r="73" s="13" customFormat="1" x14ac:dyDescent="0.35"/>
    <row r="74" s="13" customFormat="1" x14ac:dyDescent="0.35"/>
    <row r="75" s="13" customFormat="1" x14ac:dyDescent="0.35"/>
    <row r="76" s="13" customFormat="1" x14ac:dyDescent="0.35"/>
    <row r="77" s="13" customFormat="1" x14ac:dyDescent="0.35"/>
    <row r="78" s="13" customFormat="1" x14ac:dyDescent="0.35"/>
    <row r="79" s="13" customFormat="1" x14ac:dyDescent="0.35"/>
    <row r="80" s="13" customFormat="1" x14ac:dyDescent="0.35"/>
    <row r="81" s="13" customFormat="1" x14ac:dyDescent="0.35"/>
    <row r="82" s="13" customFormat="1" x14ac:dyDescent="0.35"/>
    <row r="83" s="13" customFormat="1" x14ac:dyDescent="0.35"/>
    <row r="84" s="13" customFormat="1" x14ac:dyDescent="0.35"/>
    <row r="85" s="13" customFormat="1" x14ac:dyDescent="0.35"/>
    <row r="86" s="13" customFormat="1" x14ac:dyDescent="0.35"/>
    <row r="87" s="13" customFormat="1" x14ac:dyDescent="0.35"/>
    <row r="88" s="13" customFormat="1" x14ac:dyDescent="0.35"/>
    <row r="89" s="13" customFormat="1" x14ac:dyDescent="0.35"/>
    <row r="90" s="13" customFormat="1" x14ac:dyDescent="0.35"/>
    <row r="91" s="13" customFormat="1" x14ac:dyDescent="0.35"/>
    <row r="92" s="13" customFormat="1" x14ac:dyDescent="0.35"/>
    <row r="93" s="13" customFormat="1" x14ac:dyDescent="0.35"/>
    <row r="94" s="13" customFormat="1" x14ac:dyDescent="0.35"/>
    <row r="95" s="13" customFormat="1" x14ac:dyDescent="0.35"/>
    <row r="96" s="13" customFormat="1" x14ac:dyDescent="0.35"/>
    <row r="97" s="13" customFormat="1" x14ac:dyDescent="0.35"/>
    <row r="98" s="13" customFormat="1" x14ac:dyDescent="0.35"/>
    <row r="99" s="13" customFormat="1" x14ac:dyDescent="0.35"/>
    <row r="100" s="13" customFormat="1" x14ac:dyDescent="0.35"/>
    <row r="101" s="13" customFormat="1" x14ac:dyDescent="0.35"/>
    <row r="102" s="13" customFormat="1" x14ac:dyDescent="0.35"/>
    <row r="103" s="13" customFormat="1" x14ac:dyDescent="0.35"/>
    <row r="104" s="13" customFormat="1" x14ac:dyDescent="0.35"/>
    <row r="105" s="13" customFormat="1" x14ac:dyDescent="0.35"/>
    <row r="106" s="13" customFormat="1" x14ac:dyDescent="0.35"/>
    <row r="107" s="13" customFormat="1" x14ac:dyDescent="0.35"/>
    <row r="108" s="13" customFormat="1" x14ac:dyDescent="0.35"/>
    <row r="109" s="13" customFormat="1" x14ac:dyDescent="0.35"/>
    <row r="110" s="13" customFormat="1" x14ac:dyDescent="0.35"/>
    <row r="111" s="13" customFormat="1" x14ac:dyDescent="0.35"/>
    <row r="112" s="13" customFormat="1" x14ac:dyDescent="0.35"/>
    <row r="113" s="13" customFormat="1" x14ac:dyDescent="0.35"/>
    <row r="114" s="13" customFormat="1" x14ac:dyDescent="0.35"/>
    <row r="115" s="13" customFormat="1" x14ac:dyDescent="0.35"/>
    <row r="116" s="13" customFormat="1" x14ac:dyDescent="0.35"/>
    <row r="117" s="13" customFormat="1" x14ac:dyDescent="0.35"/>
    <row r="118" s="13" customFormat="1" x14ac:dyDescent="0.35"/>
    <row r="119" s="13" customFormat="1" x14ac:dyDescent="0.35"/>
    <row r="120" s="13" customFormat="1" x14ac:dyDescent="0.35"/>
    <row r="121" s="13" customFormat="1" x14ac:dyDescent="0.35"/>
    <row r="122" s="13" customFormat="1" x14ac:dyDescent="0.35"/>
    <row r="123" s="13" customFormat="1" x14ac:dyDescent="0.35"/>
    <row r="124" s="13" customFormat="1" x14ac:dyDescent="0.35"/>
    <row r="125" s="13" customFormat="1" x14ac:dyDescent="0.35"/>
    <row r="126" s="13" customFormat="1" x14ac:dyDescent="0.35"/>
    <row r="127" s="13" customFormat="1" x14ac:dyDescent="0.35"/>
    <row r="128" s="13" customFormat="1" x14ac:dyDescent="0.35"/>
    <row r="129" s="13" customFormat="1" x14ac:dyDescent="0.35"/>
    <row r="130" s="13" customFormat="1" x14ac:dyDescent="0.35"/>
    <row r="131" s="13" customFormat="1" x14ac:dyDescent="0.35"/>
    <row r="132" s="13" customFormat="1" x14ac:dyDescent="0.35"/>
    <row r="133" s="13" customFormat="1" x14ac:dyDescent="0.35"/>
    <row r="134" s="13" customFormat="1" x14ac:dyDescent="0.35"/>
    <row r="135" s="13" customFormat="1" x14ac:dyDescent="0.35"/>
    <row r="136" s="13" customFormat="1" x14ac:dyDescent="0.35"/>
    <row r="137" s="13" customFormat="1" x14ac:dyDescent="0.35"/>
    <row r="138" s="13" customFormat="1" x14ac:dyDescent="0.35"/>
    <row r="139" s="13" customFormat="1" x14ac:dyDescent="0.35"/>
    <row r="140" s="13" customFormat="1" x14ac:dyDescent="0.35"/>
    <row r="141" s="13" customFormat="1" x14ac:dyDescent="0.35"/>
    <row r="142" s="13" customFormat="1" x14ac:dyDescent="0.35"/>
    <row r="143" s="13" customFormat="1" x14ac:dyDescent="0.35"/>
    <row r="144" s="13" customFormat="1" x14ac:dyDescent="0.35"/>
    <row r="145" s="13" customFormat="1" x14ac:dyDescent="0.35"/>
    <row r="146" s="13" customFormat="1" x14ac:dyDescent="0.35"/>
    <row r="147" s="13" customFormat="1" x14ac:dyDescent="0.35"/>
    <row r="148" s="13" customFormat="1" x14ac:dyDescent="0.35"/>
    <row r="149" s="13" customFormat="1" x14ac:dyDescent="0.35"/>
    <row r="150" s="13" customFormat="1" x14ac:dyDescent="0.35"/>
    <row r="151" s="13" customFormat="1" x14ac:dyDescent="0.35"/>
    <row r="152" s="13" customFormat="1" x14ac:dyDescent="0.35"/>
    <row r="153" s="13" customFormat="1" x14ac:dyDescent="0.35"/>
    <row r="154" s="13" customFormat="1" x14ac:dyDescent="0.35"/>
    <row r="155" s="13" customFormat="1" x14ac:dyDescent="0.35"/>
    <row r="156" s="13" customFormat="1" x14ac:dyDescent="0.35"/>
    <row r="157" s="13" customFormat="1" x14ac:dyDescent="0.35"/>
    <row r="158" s="13" customFormat="1" x14ac:dyDescent="0.35"/>
    <row r="159" s="13" customFormat="1" x14ac:dyDescent="0.35"/>
    <row r="160" s="13" customFormat="1" x14ac:dyDescent="0.35"/>
    <row r="161" s="13" customFormat="1" x14ac:dyDescent="0.35"/>
    <row r="162" s="13" customFormat="1" x14ac:dyDescent="0.35"/>
    <row r="163" s="13" customFormat="1" x14ac:dyDescent="0.35"/>
    <row r="164" s="13" customFormat="1" x14ac:dyDescent="0.35"/>
    <row r="165" s="13" customFormat="1" x14ac:dyDescent="0.35"/>
    <row r="166" s="13" customFormat="1" x14ac:dyDescent="0.35"/>
    <row r="167" s="13" customFormat="1" x14ac:dyDescent="0.35"/>
    <row r="168" s="13" customFormat="1" x14ac:dyDescent="0.35"/>
    <row r="169" s="13" customFormat="1" x14ac:dyDescent="0.35"/>
    <row r="170" s="13" customFormat="1" x14ac:dyDescent="0.35"/>
    <row r="171" s="13" customFormat="1" x14ac:dyDescent="0.35"/>
    <row r="172" s="13" customFormat="1" x14ac:dyDescent="0.35"/>
    <row r="173" s="13" customFormat="1" x14ac:dyDescent="0.35"/>
    <row r="174" s="13" customFormat="1" x14ac:dyDescent="0.35"/>
    <row r="175" s="13" customFormat="1" x14ac:dyDescent="0.35"/>
    <row r="176" s="13" customFormat="1" x14ac:dyDescent="0.35"/>
    <row r="177" s="13" customFormat="1" x14ac:dyDescent="0.35"/>
    <row r="178" s="13" customFormat="1" x14ac:dyDescent="0.35"/>
    <row r="179" s="13" customFormat="1" x14ac:dyDescent="0.35"/>
    <row r="180" s="13" customFormat="1" x14ac:dyDescent="0.35"/>
    <row r="181" s="13" customFormat="1" x14ac:dyDescent="0.35"/>
    <row r="182" s="13" customFormat="1" x14ac:dyDescent="0.35"/>
    <row r="183" s="13" customFormat="1" x14ac:dyDescent="0.35"/>
    <row r="184" s="13" customFormat="1" x14ac:dyDescent="0.35"/>
    <row r="185" s="13" customFormat="1" x14ac:dyDescent="0.35"/>
    <row r="186" s="13" customFormat="1" x14ac:dyDescent="0.35"/>
    <row r="187" s="13" customFormat="1" x14ac:dyDescent="0.35"/>
    <row r="188" s="13" customFormat="1" x14ac:dyDescent="0.35"/>
    <row r="189" s="13" customFormat="1" x14ac:dyDescent="0.35"/>
    <row r="190" s="13" customFormat="1" x14ac:dyDescent="0.35"/>
    <row r="191" s="13" customFormat="1" x14ac:dyDescent="0.35"/>
    <row r="192" s="13" customFormat="1" x14ac:dyDescent="0.35"/>
    <row r="193" s="13" customFormat="1" x14ac:dyDescent="0.35"/>
    <row r="194" s="13" customFormat="1" x14ac:dyDescent="0.35"/>
    <row r="195" s="13" customFormat="1" x14ac:dyDescent="0.35"/>
    <row r="196" s="13" customFormat="1" x14ac:dyDescent="0.35"/>
    <row r="197" s="13" customFormat="1" x14ac:dyDescent="0.35"/>
    <row r="198" s="13" customFormat="1" x14ac:dyDescent="0.35"/>
    <row r="199" s="13" customFormat="1" x14ac:dyDescent="0.35"/>
    <row r="200" s="13" customFormat="1" x14ac:dyDescent="0.35"/>
    <row r="201" s="13" customFormat="1" x14ac:dyDescent="0.35"/>
    <row r="202" s="13" customFormat="1" x14ac:dyDescent="0.35"/>
    <row r="203" s="13" customFormat="1" x14ac:dyDescent="0.35"/>
    <row r="204" s="13" customFormat="1" x14ac:dyDescent="0.35"/>
    <row r="205" s="13" customFormat="1" x14ac:dyDescent="0.35"/>
    <row r="206" s="13" customFormat="1" x14ac:dyDescent="0.35"/>
    <row r="207" s="13" customFormat="1" x14ac:dyDescent="0.35"/>
    <row r="208" s="13" customFormat="1" x14ac:dyDescent="0.35"/>
    <row r="209" s="13" customFormat="1" x14ac:dyDescent="0.35"/>
    <row r="210" s="13" customFormat="1" x14ac:dyDescent="0.35"/>
    <row r="211" s="13" customFormat="1" x14ac:dyDescent="0.35"/>
    <row r="212" s="13" customFormat="1" x14ac:dyDescent="0.35"/>
    <row r="213" s="13" customFormat="1" x14ac:dyDescent="0.35"/>
    <row r="214" s="13" customFormat="1" x14ac:dyDescent="0.35"/>
    <row r="215" s="13" customFormat="1" x14ac:dyDescent="0.35"/>
    <row r="216" s="13" customFormat="1" x14ac:dyDescent="0.35"/>
    <row r="217" s="13" customFormat="1" x14ac:dyDescent="0.35"/>
    <row r="218" s="13" customFormat="1" x14ac:dyDescent="0.35"/>
    <row r="219" s="13" customFormat="1" x14ac:dyDescent="0.35"/>
    <row r="220" s="13" customFormat="1" x14ac:dyDescent="0.35"/>
    <row r="221" s="13" customFormat="1" x14ac:dyDescent="0.35"/>
    <row r="222" s="13" customFormat="1" x14ac:dyDescent="0.35"/>
    <row r="223" s="13" customFormat="1" x14ac:dyDescent="0.35"/>
    <row r="224" s="13" customFormat="1" x14ac:dyDescent="0.35"/>
    <row r="225" s="13" customFormat="1" x14ac:dyDescent="0.35"/>
    <row r="226" s="13" customFormat="1" x14ac:dyDescent="0.35"/>
    <row r="227" s="13" customFormat="1" x14ac:dyDescent="0.35"/>
    <row r="228" s="13" customFormat="1" x14ac:dyDescent="0.35"/>
    <row r="229" s="13" customFormat="1" x14ac:dyDescent="0.35"/>
    <row r="230" s="13" customFormat="1" x14ac:dyDescent="0.35"/>
    <row r="231" s="13" customFormat="1" x14ac:dyDescent="0.35"/>
    <row r="232" s="13" customFormat="1" x14ac:dyDescent="0.35"/>
    <row r="233" s="13" customFormat="1" x14ac:dyDescent="0.35"/>
    <row r="234" s="13" customFormat="1" x14ac:dyDescent="0.35"/>
    <row r="235" s="13" customFormat="1" x14ac:dyDescent="0.35"/>
    <row r="236" s="13" customFormat="1" x14ac:dyDescent="0.35"/>
    <row r="237" s="13" customFormat="1" x14ac:dyDescent="0.35"/>
    <row r="238" s="13" customFormat="1" x14ac:dyDescent="0.35"/>
    <row r="239" s="13" customFormat="1" x14ac:dyDescent="0.35"/>
    <row r="240" s="13" customFormat="1" x14ac:dyDescent="0.35"/>
    <row r="241" s="13" customFormat="1" x14ac:dyDescent="0.35"/>
    <row r="242" s="13" customFormat="1" x14ac:dyDescent="0.35"/>
    <row r="243" s="13" customFormat="1" x14ac:dyDescent="0.35"/>
    <row r="244" s="13" customFormat="1" x14ac:dyDescent="0.35"/>
    <row r="245" s="13" customFormat="1" x14ac:dyDescent="0.35"/>
    <row r="246" s="13" customFormat="1" x14ac:dyDescent="0.35"/>
    <row r="247" s="13" customFormat="1" x14ac:dyDescent="0.35"/>
    <row r="248" s="13" customFormat="1" x14ac:dyDescent="0.35"/>
    <row r="249" s="13" customFormat="1" x14ac:dyDescent="0.35"/>
    <row r="250" s="13" customFormat="1" x14ac:dyDescent="0.35"/>
    <row r="251" s="13" customFormat="1" x14ac:dyDescent="0.35"/>
    <row r="252" s="13" customFormat="1" x14ac:dyDescent="0.35"/>
    <row r="253" s="13" customFormat="1" x14ac:dyDescent="0.35"/>
    <row r="254" s="13" customFormat="1" x14ac:dyDescent="0.35"/>
    <row r="255" s="13" customFormat="1" x14ac:dyDescent="0.35"/>
    <row r="256" s="13" customFormat="1" x14ac:dyDescent="0.35"/>
    <row r="257" s="13" customFormat="1" x14ac:dyDescent="0.35"/>
    <row r="258" s="13" customFormat="1" x14ac:dyDescent="0.35"/>
    <row r="259" s="13" customFormat="1" x14ac:dyDescent="0.35"/>
    <row r="260" s="13" customFormat="1" x14ac:dyDescent="0.35"/>
    <row r="261" s="13" customFormat="1" x14ac:dyDescent="0.35"/>
    <row r="262" s="13" customFormat="1" x14ac:dyDescent="0.35"/>
    <row r="263" s="13" customFormat="1" x14ac:dyDescent="0.35"/>
    <row r="264" s="13" customFormat="1" x14ac:dyDescent="0.35"/>
    <row r="265" s="13" customFormat="1" x14ac:dyDescent="0.35"/>
    <row r="266" s="13" customFormat="1" x14ac:dyDescent="0.35"/>
    <row r="267" s="13" customFormat="1" x14ac:dyDescent="0.35"/>
    <row r="268" s="13" customFormat="1" x14ac:dyDescent="0.35"/>
    <row r="269" s="13" customFormat="1" x14ac:dyDescent="0.35"/>
    <row r="270" s="13" customFormat="1" x14ac:dyDescent="0.35"/>
    <row r="271" s="13" customFormat="1" x14ac:dyDescent="0.35"/>
    <row r="272" s="13" customFormat="1" x14ac:dyDescent="0.35"/>
    <row r="273" s="13" customFormat="1" x14ac:dyDescent="0.35"/>
    <row r="274" s="13" customFormat="1" x14ac:dyDescent="0.35"/>
    <row r="275" s="13" customFormat="1" x14ac:dyDescent="0.35"/>
    <row r="276" s="13" customFormat="1" x14ac:dyDescent="0.35"/>
    <row r="277" s="13" customFormat="1" x14ac:dyDescent="0.35"/>
    <row r="278" s="13" customFormat="1" x14ac:dyDescent="0.35"/>
    <row r="279" s="13" customFormat="1" x14ac:dyDescent="0.35"/>
    <row r="280" s="13" customFormat="1" x14ac:dyDescent="0.35"/>
    <row r="281" s="13" customFormat="1" x14ac:dyDescent="0.35"/>
    <row r="282" s="13" customFormat="1" x14ac:dyDescent="0.35"/>
    <row r="283" s="13" customFormat="1" x14ac:dyDescent="0.35"/>
    <row r="284" s="13" customFormat="1" x14ac:dyDescent="0.35"/>
    <row r="285" s="13" customFormat="1" x14ac:dyDescent="0.35"/>
    <row r="286" s="13" customFormat="1" x14ac:dyDescent="0.35"/>
    <row r="287" s="13" customFormat="1" x14ac:dyDescent="0.35"/>
    <row r="288" s="13" customFormat="1" x14ac:dyDescent="0.35"/>
    <row r="289" s="13" customFormat="1" x14ac:dyDescent="0.35"/>
    <row r="290" s="13" customFormat="1" x14ac:dyDescent="0.35"/>
    <row r="291" s="13" customFormat="1" x14ac:dyDescent="0.35"/>
    <row r="292" s="13" customFormat="1" x14ac:dyDescent="0.35"/>
    <row r="293" s="13" customFormat="1" x14ac:dyDescent="0.35"/>
    <row r="294" s="13" customFormat="1" x14ac:dyDescent="0.35"/>
    <row r="295" s="13" customFormat="1" x14ac:dyDescent="0.35"/>
    <row r="296" s="13" customFormat="1" x14ac:dyDescent="0.35"/>
    <row r="297" s="13" customFormat="1" x14ac:dyDescent="0.35"/>
    <row r="298" s="13" customFormat="1" x14ac:dyDescent="0.35"/>
    <row r="299" s="13" customFormat="1" x14ac:dyDescent="0.35"/>
    <row r="300" s="13" customFormat="1" x14ac:dyDescent="0.35"/>
    <row r="301" s="13" customFormat="1" x14ac:dyDescent="0.35"/>
    <row r="302" s="13" customFormat="1" x14ac:dyDescent="0.35"/>
    <row r="303" s="13" customFormat="1" x14ac:dyDescent="0.35"/>
    <row r="304" s="13" customFormat="1" x14ac:dyDescent="0.35"/>
    <row r="305" s="13" customFormat="1" x14ac:dyDescent="0.35"/>
    <row r="306" s="13" customFormat="1" x14ac:dyDescent="0.35"/>
    <row r="307" s="13" customFormat="1" x14ac:dyDescent="0.35"/>
    <row r="308" s="13" customFormat="1" x14ac:dyDescent="0.35"/>
    <row r="309" s="13" customFormat="1" x14ac:dyDescent="0.35"/>
    <row r="310" s="13" customFormat="1" x14ac:dyDescent="0.35"/>
    <row r="311" s="13" customFormat="1" x14ac:dyDescent="0.35"/>
    <row r="312" s="13" customFormat="1" x14ac:dyDescent="0.35"/>
    <row r="313" s="13" customFormat="1" x14ac:dyDescent="0.35"/>
    <row r="314" s="13" customFormat="1" x14ac:dyDescent="0.35"/>
    <row r="315" s="13" customFormat="1" x14ac:dyDescent="0.35"/>
    <row r="316" s="13" customFormat="1" x14ac:dyDescent="0.35"/>
    <row r="317" s="13" customFormat="1" x14ac:dyDescent="0.35"/>
    <row r="318" s="13" customFormat="1" x14ac:dyDescent="0.35"/>
    <row r="319" s="13" customFormat="1" x14ac:dyDescent="0.35"/>
    <row r="320" s="13" customFormat="1" x14ac:dyDescent="0.35"/>
    <row r="321" s="13" customFormat="1" x14ac:dyDescent="0.35"/>
    <row r="322" s="13" customFormat="1" x14ac:dyDescent="0.35"/>
    <row r="323" s="13" customFormat="1" x14ac:dyDescent="0.35"/>
    <row r="324" s="13" customFormat="1" x14ac:dyDescent="0.35"/>
    <row r="325" s="13" customFormat="1" x14ac:dyDescent="0.35"/>
    <row r="326" s="13" customFormat="1" x14ac:dyDescent="0.35"/>
    <row r="327" s="13" customFormat="1" x14ac:dyDescent="0.35"/>
    <row r="328" s="13" customFormat="1" x14ac:dyDescent="0.35"/>
    <row r="329" s="13" customFormat="1" x14ac:dyDescent="0.35"/>
    <row r="330" s="13" customFormat="1" x14ac:dyDescent="0.35"/>
    <row r="331" s="13" customFormat="1" x14ac:dyDescent="0.35"/>
    <row r="332" s="13" customFormat="1" x14ac:dyDescent="0.35"/>
    <row r="333" s="13" customFormat="1" x14ac:dyDescent="0.35"/>
    <row r="334" s="13" customFormat="1" x14ac:dyDescent="0.35"/>
    <row r="335" s="13" customFormat="1" x14ac:dyDescent="0.35"/>
    <row r="336" s="13" customFormat="1" x14ac:dyDescent="0.35"/>
    <row r="337" s="13" customFormat="1" x14ac:dyDescent="0.35"/>
    <row r="338" s="13" customFormat="1" x14ac:dyDescent="0.35"/>
    <row r="339" s="13" customFormat="1" x14ac:dyDescent="0.35"/>
    <row r="340" s="13" customFormat="1" x14ac:dyDescent="0.35"/>
    <row r="341" s="13" customFormat="1" x14ac:dyDescent="0.35"/>
    <row r="342" s="13" customFormat="1" x14ac:dyDescent="0.35"/>
    <row r="343" s="13" customFormat="1" x14ac:dyDescent="0.35"/>
    <row r="344" s="13" customFormat="1" x14ac:dyDescent="0.35"/>
    <row r="345" s="13" customFormat="1" x14ac:dyDescent="0.35"/>
    <row r="346" s="13" customFormat="1" x14ac:dyDescent="0.35"/>
    <row r="347" s="13" customFormat="1" x14ac:dyDescent="0.35"/>
    <row r="348" s="13" customFormat="1" x14ac:dyDescent="0.35"/>
    <row r="349" s="13" customFormat="1" x14ac:dyDescent="0.35"/>
    <row r="350" s="13" customFormat="1" x14ac:dyDescent="0.35"/>
    <row r="351" s="13" customFormat="1" x14ac:dyDescent="0.35"/>
    <row r="352" s="13" customFormat="1" x14ac:dyDescent="0.35"/>
    <row r="353" s="13" customFormat="1" x14ac:dyDescent="0.35"/>
    <row r="354" s="13" customFormat="1" x14ac:dyDescent="0.35"/>
    <row r="355" s="13" customFormat="1" x14ac:dyDescent="0.35"/>
    <row r="356" s="13" customFormat="1" x14ac:dyDescent="0.35"/>
    <row r="357" s="13" customFormat="1" x14ac:dyDescent="0.35"/>
    <row r="358" s="13" customFormat="1" x14ac:dyDescent="0.35"/>
    <row r="359" s="13" customFormat="1" x14ac:dyDescent="0.35"/>
    <row r="360" s="13" customFormat="1" x14ac:dyDescent="0.35"/>
    <row r="361" s="13" customFormat="1" x14ac:dyDescent="0.35"/>
    <row r="362" s="13" customFormat="1" x14ac:dyDescent="0.35"/>
    <row r="363" s="13" customFormat="1" x14ac:dyDescent="0.35"/>
    <row r="364" s="13" customFormat="1" x14ac:dyDescent="0.35"/>
    <row r="365" s="13" customFormat="1" x14ac:dyDescent="0.35"/>
    <row r="366" s="13" customFormat="1" x14ac:dyDescent="0.35"/>
    <row r="367" s="13" customFormat="1" x14ac:dyDescent="0.35"/>
    <row r="368" s="13" customFormat="1" x14ac:dyDescent="0.35"/>
    <row r="369" s="13" customFormat="1" x14ac:dyDescent="0.35"/>
    <row r="370" s="13" customFormat="1" x14ac:dyDescent="0.35"/>
    <row r="371" s="13" customFormat="1" x14ac:dyDescent="0.35"/>
    <row r="372" s="13" customFormat="1" x14ac:dyDescent="0.35"/>
    <row r="373" s="13" customFormat="1" x14ac:dyDescent="0.35"/>
    <row r="374" s="13" customFormat="1" x14ac:dyDescent="0.35"/>
    <row r="375" s="13" customFormat="1" x14ac:dyDescent="0.35"/>
    <row r="376" s="13" customFormat="1" x14ac:dyDescent="0.35"/>
    <row r="377" s="13" customFormat="1" x14ac:dyDescent="0.35"/>
    <row r="378" s="13" customFormat="1" x14ac:dyDescent="0.35"/>
    <row r="379" s="13" customFormat="1" x14ac:dyDescent="0.35"/>
    <row r="380" s="13" customFormat="1" x14ac:dyDescent="0.35"/>
    <row r="381" s="13" customFormat="1" x14ac:dyDescent="0.35"/>
    <row r="382" s="13" customFormat="1" x14ac:dyDescent="0.35"/>
    <row r="383" s="13" customFormat="1" x14ac:dyDescent="0.35"/>
    <row r="384" s="13" customFormat="1" x14ac:dyDescent="0.35"/>
    <row r="385" s="13" customFormat="1" x14ac:dyDescent="0.35"/>
    <row r="386" s="13" customFormat="1" x14ac:dyDescent="0.35"/>
    <row r="387" s="13" customFormat="1" x14ac:dyDescent="0.35"/>
    <row r="388" s="13" customFormat="1" x14ac:dyDescent="0.35"/>
    <row r="389" s="13" customFormat="1" x14ac:dyDescent="0.35"/>
    <row r="390" s="13" customFormat="1" x14ac:dyDescent="0.35"/>
    <row r="391" s="13" customFormat="1" x14ac:dyDescent="0.35"/>
    <row r="392" s="13" customFormat="1" x14ac:dyDescent="0.35"/>
    <row r="393" s="13" customFormat="1" x14ac:dyDescent="0.35"/>
    <row r="394" s="13" customFormat="1" x14ac:dyDescent="0.35"/>
    <row r="395" s="13" customFormat="1" x14ac:dyDescent="0.35"/>
    <row r="396" s="13" customFormat="1" x14ac:dyDescent="0.35"/>
    <row r="397" s="13" customFormat="1" x14ac:dyDescent="0.35"/>
    <row r="398" s="13" customFormat="1" x14ac:dyDescent="0.35"/>
    <row r="399" s="13" customFormat="1" x14ac:dyDescent="0.35"/>
    <row r="400" s="13" customFormat="1" x14ac:dyDescent="0.35"/>
    <row r="401" s="13" customFormat="1" x14ac:dyDescent="0.35"/>
    <row r="402" s="13" customFormat="1" x14ac:dyDescent="0.35"/>
    <row r="403" s="13" customFormat="1" x14ac:dyDescent="0.35"/>
    <row r="404" s="13" customFormat="1" x14ac:dyDescent="0.35"/>
    <row r="405" s="13" customFormat="1" x14ac:dyDescent="0.35"/>
    <row r="406" s="13" customFormat="1" x14ac:dyDescent="0.35"/>
    <row r="407" s="13" customFormat="1" x14ac:dyDescent="0.35"/>
    <row r="408" s="13" customFormat="1" x14ac:dyDescent="0.35"/>
    <row r="409" s="13" customFormat="1" x14ac:dyDescent="0.35"/>
    <row r="410" s="13" customFormat="1" x14ac:dyDescent="0.35"/>
    <row r="411" s="13" customFormat="1" x14ac:dyDescent="0.35"/>
    <row r="412" s="13" customFormat="1" x14ac:dyDescent="0.35"/>
    <row r="413" s="13" customFormat="1" x14ac:dyDescent="0.35"/>
    <row r="414" s="13" customFormat="1" x14ac:dyDescent="0.35"/>
    <row r="415" s="13" customFormat="1" x14ac:dyDescent="0.35"/>
    <row r="416" s="13" customFormat="1" x14ac:dyDescent="0.35"/>
    <row r="417" s="13" customFormat="1" x14ac:dyDescent="0.35"/>
    <row r="418" s="13" customFormat="1" x14ac:dyDescent="0.35"/>
    <row r="419" s="13" customFormat="1" x14ac:dyDescent="0.35"/>
    <row r="420" s="13" customFormat="1" x14ac:dyDescent="0.35"/>
    <row r="421" s="13" customFormat="1" x14ac:dyDescent="0.35"/>
    <row r="422" s="13" customFormat="1" x14ac:dyDescent="0.35"/>
    <row r="423" s="13" customFormat="1" x14ac:dyDescent="0.35"/>
    <row r="424" s="13" customFormat="1" x14ac:dyDescent="0.35"/>
    <row r="425" s="13" customFormat="1" x14ac:dyDescent="0.35"/>
    <row r="426" s="13" customFormat="1" x14ac:dyDescent="0.35"/>
    <row r="427" s="13" customFormat="1" x14ac:dyDescent="0.35"/>
    <row r="428" s="13" customFormat="1" x14ac:dyDescent="0.35"/>
    <row r="429" s="13" customFormat="1" x14ac:dyDescent="0.35"/>
    <row r="430" s="13" customFormat="1" x14ac:dyDescent="0.35"/>
    <row r="431" s="13" customFormat="1" x14ac:dyDescent="0.35"/>
    <row r="432" s="13" customFormat="1" x14ac:dyDescent="0.35"/>
    <row r="433" s="13" customFormat="1" x14ac:dyDescent="0.35"/>
    <row r="434" s="13" customFormat="1" x14ac:dyDescent="0.35"/>
    <row r="435" s="13" customFormat="1" x14ac:dyDescent="0.35"/>
    <row r="436" s="13" customFormat="1" x14ac:dyDescent="0.35"/>
    <row r="437" s="13" customFormat="1" x14ac:dyDescent="0.35"/>
    <row r="438" s="13" customFormat="1" x14ac:dyDescent="0.35"/>
    <row r="439" s="13" customFormat="1" x14ac:dyDescent="0.35"/>
    <row r="440" s="13" customFormat="1" x14ac:dyDescent="0.35"/>
    <row r="441" s="13" customFormat="1" x14ac:dyDescent="0.35"/>
    <row r="442" s="13" customFormat="1" x14ac:dyDescent="0.35"/>
    <row r="443" s="13" customFormat="1" x14ac:dyDescent="0.35"/>
    <row r="444" s="13" customFormat="1" x14ac:dyDescent="0.35"/>
    <row r="445" s="13" customFormat="1" x14ac:dyDescent="0.35"/>
    <row r="446" s="13" customFormat="1" x14ac:dyDescent="0.35"/>
    <row r="447" s="13" customFormat="1" x14ac:dyDescent="0.35"/>
    <row r="448" s="13" customFormat="1" x14ac:dyDescent="0.35"/>
    <row r="449" s="13" customFormat="1" x14ac:dyDescent="0.35"/>
    <row r="450" s="13" customFormat="1" x14ac:dyDescent="0.35"/>
    <row r="451" s="13" customFormat="1" x14ac:dyDescent="0.35"/>
    <row r="452" s="13" customFormat="1" x14ac:dyDescent="0.35"/>
    <row r="453" s="13" customFormat="1" x14ac:dyDescent="0.35"/>
    <row r="454" s="13" customFormat="1" x14ac:dyDescent="0.35"/>
    <row r="455" s="13" customFormat="1" x14ac:dyDescent="0.35"/>
    <row r="456" s="13" customFormat="1" x14ac:dyDescent="0.35"/>
    <row r="457" s="13" customFormat="1" x14ac:dyDescent="0.35"/>
    <row r="458" s="13" customFormat="1" x14ac:dyDescent="0.35"/>
    <row r="459" s="13" customFormat="1" x14ac:dyDescent="0.35"/>
    <row r="460" s="13" customFormat="1" x14ac:dyDescent="0.35"/>
    <row r="461" s="13" customFormat="1" x14ac:dyDescent="0.35"/>
    <row r="462" s="13" customFormat="1" x14ac:dyDescent="0.35"/>
    <row r="463" s="13" customFormat="1" x14ac:dyDescent="0.35"/>
    <row r="464" s="13" customFormat="1" x14ac:dyDescent="0.35"/>
    <row r="465" s="13" customFormat="1" x14ac:dyDescent="0.35"/>
    <row r="466" s="13" customFormat="1" x14ac:dyDescent="0.35"/>
    <row r="467" s="13" customFormat="1" x14ac:dyDescent="0.35"/>
    <row r="468" s="13" customFormat="1" x14ac:dyDescent="0.35"/>
    <row r="469" s="13" customFormat="1" x14ac:dyDescent="0.35"/>
    <row r="470" s="13" customFormat="1" x14ac:dyDescent="0.35"/>
    <row r="471" s="13" customFormat="1" x14ac:dyDescent="0.35"/>
    <row r="472" s="13" customFormat="1" x14ac:dyDescent="0.35"/>
    <row r="473" s="13" customFormat="1" x14ac:dyDescent="0.35"/>
    <row r="474" s="13" customFormat="1" x14ac:dyDescent="0.35"/>
    <row r="475" s="13" customFormat="1" x14ac:dyDescent="0.35"/>
    <row r="476" s="13" customFormat="1" x14ac:dyDescent="0.35"/>
    <row r="477" s="13" customFormat="1" x14ac:dyDescent="0.35"/>
    <row r="478" s="13" customFormat="1" x14ac:dyDescent="0.35"/>
    <row r="479" s="13" customFormat="1" x14ac:dyDescent="0.35"/>
    <row r="480" s="13" customFormat="1" x14ac:dyDescent="0.35"/>
    <row r="481" s="13" customFormat="1" x14ac:dyDescent="0.35"/>
    <row r="482" s="13" customFormat="1" x14ac:dyDescent="0.35"/>
    <row r="483" s="13" customFormat="1" x14ac:dyDescent="0.35"/>
    <row r="484" s="13" customFormat="1" x14ac:dyDescent="0.35"/>
    <row r="485" s="13" customFormat="1" x14ac:dyDescent="0.35"/>
    <row r="486" s="13" customFormat="1" x14ac:dyDescent="0.35"/>
    <row r="487" s="13" customFormat="1" x14ac:dyDescent="0.35"/>
    <row r="488" s="13" customFormat="1" x14ac:dyDescent="0.35"/>
    <row r="489" s="13" customFormat="1" x14ac:dyDescent="0.35"/>
    <row r="490" s="13" customFormat="1" x14ac:dyDescent="0.35"/>
    <row r="491" s="13" customFormat="1" x14ac:dyDescent="0.35"/>
    <row r="492" s="13" customFormat="1" x14ac:dyDescent="0.35"/>
    <row r="493" s="13" customFormat="1" x14ac:dyDescent="0.35"/>
    <row r="494" s="13" customFormat="1" x14ac:dyDescent="0.35"/>
    <row r="495" s="13" customFormat="1" x14ac:dyDescent="0.35"/>
    <row r="496" s="13" customFormat="1" x14ac:dyDescent="0.35"/>
    <row r="497" s="13" customFormat="1" x14ac:dyDescent="0.35"/>
    <row r="498" s="13" customFormat="1" x14ac:dyDescent="0.35"/>
    <row r="499" s="13" customFormat="1" x14ac:dyDescent="0.35"/>
    <row r="500" s="13" customFormat="1" x14ac:dyDescent="0.35"/>
    <row r="501" s="13" customFormat="1" x14ac:dyDescent="0.35"/>
    <row r="502" s="13" customFormat="1" x14ac:dyDescent="0.35"/>
    <row r="503" s="13" customFormat="1" x14ac:dyDescent="0.35"/>
    <row r="504" s="13" customFormat="1" x14ac:dyDescent="0.35"/>
    <row r="505" s="13" customFormat="1" x14ac:dyDescent="0.35"/>
    <row r="506" s="13" customFormat="1" x14ac:dyDescent="0.35"/>
    <row r="507" s="13" customFormat="1" x14ac:dyDescent="0.35"/>
    <row r="508" s="13" customFormat="1" x14ac:dyDescent="0.35"/>
    <row r="509" s="13" customFormat="1" x14ac:dyDescent="0.35"/>
    <row r="510" s="13" customFormat="1" x14ac:dyDescent="0.35"/>
    <row r="511" s="13" customFormat="1" x14ac:dyDescent="0.35"/>
    <row r="512" s="13" customFormat="1" x14ac:dyDescent="0.35"/>
    <row r="513" s="13" customFormat="1" x14ac:dyDescent="0.35"/>
    <row r="514" s="13" customFormat="1" x14ac:dyDescent="0.35"/>
    <row r="515" s="13" customFormat="1" x14ac:dyDescent="0.35"/>
    <row r="516" s="13" customFormat="1" x14ac:dyDescent="0.35"/>
    <row r="517" s="13" customFormat="1" x14ac:dyDescent="0.35"/>
    <row r="518" s="13" customFormat="1" x14ac:dyDescent="0.35"/>
    <row r="519" s="13" customFormat="1" x14ac:dyDescent="0.35"/>
    <row r="520" s="13" customFormat="1" x14ac:dyDescent="0.35"/>
    <row r="521" s="13" customFormat="1" x14ac:dyDescent="0.35"/>
    <row r="522" s="13" customFormat="1" x14ac:dyDescent="0.35"/>
    <row r="523" s="13" customFormat="1" x14ac:dyDescent="0.35"/>
    <row r="524" s="13" customFormat="1" x14ac:dyDescent="0.35"/>
    <row r="525" s="13" customFormat="1" x14ac:dyDescent="0.35"/>
    <row r="526" s="13" customFormat="1" x14ac:dyDescent="0.35"/>
    <row r="527" s="13" customFormat="1" x14ac:dyDescent="0.35"/>
    <row r="528" s="13" customFormat="1" x14ac:dyDescent="0.35"/>
    <row r="529" s="13" customFormat="1" x14ac:dyDescent="0.35"/>
    <row r="530" s="13" customFormat="1" x14ac:dyDescent="0.35"/>
    <row r="531" s="13" customFormat="1" x14ac:dyDescent="0.35"/>
    <row r="532" s="13" customFormat="1" x14ac:dyDescent="0.35"/>
    <row r="533" s="13" customFormat="1" x14ac:dyDescent="0.35"/>
    <row r="534" s="13" customFormat="1" x14ac:dyDescent="0.35"/>
    <row r="535" s="13" customFormat="1" x14ac:dyDescent="0.35"/>
    <row r="536" s="13" customFormat="1" x14ac:dyDescent="0.35"/>
    <row r="537" s="13" customFormat="1" x14ac:dyDescent="0.35"/>
    <row r="538" s="13" customFormat="1" x14ac:dyDescent="0.35"/>
    <row r="539" s="13" customFormat="1" x14ac:dyDescent="0.35"/>
    <row r="540" s="13" customFormat="1" x14ac:dyDescent="0.35"/>
    <row r="541" s="13" customFormat="1" x14ac:dyDescent="0.35"/>
    <row r="542" s="13" customFormat="1" x14ac:dyDescent="0.35"/>
    <row r="543" s="13" customFormat="1" x14ac:dyDescent="0.35"/>
    <row r="544" s="13" customFormat="1" x14ac:dyDescent="0.35"/>
    <row r="545" s="13" customFormat="1" x14ac:dyDescent="0.35"/>
    <row r="546" s="13" customFormat="1" x14ac:dyDescent="0.35"/>
    <row r="547" s="13" customFormat="1" x14ac:dyDescent="0.35"/>
    <row r="548" s="13" customFormat="1" x14ac:dyDescent="0.35"/>
    <row r="549" s="13" customFormat="1" x14ac:dyDescent="0.35"/>
    <row r="550" s="13" customFormat="1" x14ac:dyDescent="0.35"/>
    <row r="551" s="13" customFormat="1" x14ac:dyDescent="0.35"/>
    <row r="552" s="13" customFormat="1" x14ac:dyDescent="0.35"/>
    <row r="553" s="13" customFormat="1" x14ac:dyDescent="0.35"/>
    <row r="554" s="13" customFormat="1" x14ac:dyDescent="0.35"/>
    <row r="555" s="13" customFormat="1" x14ac:dyDescent="0.35"/>
    <row r="556" s="13" customFormat="1" x14ac:dyDescent="0.35"/>
    <row r="557" s="13" customFormat="1" x14ac:dyDescent="0.35"/>
    <row r="558" s="13" customFormat="1" x14ac:dyDescent="0.35"/>
    <row r="559" s="13" customFormat="1" x14ac:dyDescent="0.35"/>
    <row r="560" s="13" customFormat="1" x14ac:dyDescent="0.35"/>
    <row r="561" s="13" customFormat="1" x14ac:dyDescent="0.35"/>
    <row r="562" s="13" customFormat="1" x14ac:dyDescent="0.35"/>
    <row r="563" s="13" customFormat="1" x14ac:dyDescent="0.35"/>
    <row r="564" s="13" customFormat="1" x14ac:dyDescent="0.35"/>
    <row r="565" s="13" customFormat="1" x14ac:dyDescent="0.35"/>
    <row r="566" s="13" customFormat="1" x14ac:dyDescent="0.35"/>
    <row r="567" s="13" customFormat="1" x14ac:dyDescent="0.35"/>
    <row r="568" s="13" customFormat="1" x14ac:dyDescent="0.35"/>
    <row r="569" s="13" customFormat="1" x14ac:dyDescent="0.35"/>
    <row r="570" s="13" customFormat="1" x14ac:dyDescent="0.35"/>
    <row r="571" s="13" customFormat="1" x14ac:dyDescent="0.35"/>
    <row r="572" s="13" customFormat="1" x14ac:dyDescent="0.35"/>
    <row r="573" s="13" customFormat="1" x14ac:dyDescent="0.35"/>
    <row r="574" s="13" customFormat="1" x14ac:dyDescent="0.35"/>
    <row r="575" s="13" customFormat="1" x14ac:dyDescent="0.35"/>
    <row r="576" s="13" customFormat="1" x14ac:dyDescent="0.35"/>
    <row r="577" s="13" customFormat="1" x14ac:dyDescent="0.35"/>
    <row r="578" s="13" customFormat="1" x14ac:dyDescent="0.35"/>
    <row r="579" s="13" customFormat="1" x14ac:dyDescent="0.35"/>
    <row r="580" s="13" customFormat="1" x14ac:dyDescent="0.35"/>
    <row r="581" s="13" customFormat="1" x14ac:dyDescent="0.35"/>
    <row r="582" s="13" customFormat="1" x14ac:dyDescent="0.35"/>
    <row r="583" s="13" customFormat="1" x14ac:dyDescent="0.35"/>
    <row r="584" s="13" customFormat="1" x14ac:dyDescent="0.35"/>
    <row r="585" s="13" customFormat="1" x14ac:dyDescent="0.35"/>
    <row r="586" s="13" customFormat="1" x14ac:dyDescent="0.35"/>
    <row r="587" s="13" customFormat="1" x14ac:dyDescent="0.35"/>
    <row r="588" s="13" customFormat="1" x14ac:dyDescent="0.35"/>
    <row r="589" s="13" customFormat="1" x14ac:dyDescent="0.35"/>
    <row r="590" s="13" customFormat="1" x14ac:dyDescent="0.35"/>
    <row r="591" s="13" customFormat="1" x14ac:dyDescent="0.35"/>
    <row r="592" s="13" customFormat="1" x14ac:dyDescent="0.35"/>
    <row r="593" s="13" customFormat="1" x14ac:dyDescent="0.35"/>
    <row r="594" s="13" customFormat="1" x14ac:dyDescent="0.35"/>
    <row r="595" s="13" customFormat="1" x14ac:dyDescent="0.35"/>
    <row r="596" s="13" customFormat="1" x14ac:dyDescent="0.35"/>
    <row r="597" s="13" customFormat="1" x14ac:dyDescent="0.35"/>
    <row r="598" s="13" customFormat="1" x14ac:dyDescent="0.35"/>
    <row r="599" s="13" customFormat="1" x14ac:dyDescent="0.35"/>
    <row r="600" s="13" customFormat="1" x14ac:dyDescent="0.35"/>
    <row r="601" s="13" customFormat="1" x14ac:dyDescent="0.35"/>
    <row r="602" s="13" customFormat="1" x14ac:dyDescent="0.35"/>
    <row r="603" s="13" customFormat="1" x14ac:dyDescent="0.35"/>
    <row r="604" s="13" customFormat="1" x14ac:dyDescent="0.35"/>
    <row r="605" s="13" customFormat="1" x14ac:dyDescent="0.35"/>
    <row r="606" s="13" customFormat="1" x14ac:dyDescent="0.35"/>
    <row r="607" s="13" customFormat="1" x14ac:dyDescent="0.35"/>
    <row r="608" s="13" customFormat="1" x14ac:dyDescent="0.35"/>
    <row r="609" s="13" customFormat="1" x14ac:dyDescent="0.35"/>
    <row r="610" s="13" customFormat="1" x14ac:dyDescent="0.35"/>
    <row r="611" s="13" customFormat="1" x14ac:dyDescent="0.35"/>
    <row r="612" s="13" customFormat="1" x14ac:dyDescent="0.35"/>
    <row r="613" s="13" customFormat="1" x14ac:dyDescent="0.35"/>
    <row r="614" s="13" customFormat="1" x14ac:dyDescent="0.35"/>
    <row r="615" s="13" customFormat="1" x14ac:dyDescent="0.35"/>
    <row r="616" s="13" customFormat="1" x14ac:dyDescent="0.35"/>
    <row r="617" s="13" customFormat="1" x14ac:dyDescent="0.35"/>
    <row r="618" s="13" customFormat="1" x14ac:dyDescent="0.35"/>
    <row r="619" s="13" customFormat="1" x14ac:dyDescent="0.35"/>
    <row r="620" s="13" customFormat="1" x14ac:dyDescent="0.35"/>
    <row r="621" s="13" customFormat="1" x14ac:dyDescent="0.35"/>
    <row r="622" s="13" customFormat="1" x14ac:dyDescent="0.35"/>
    <row r="623" s="13" customFormat="1" x14ac:dyDescent="0.35"/>
    <row r="624" s="13" customFormat="1" x14ac:dyDescent="0.35"/>
    <row r="625" s="13" customFormat="1" x14ac:dyDescent="0.35"/>
    <row r="626" s="13" customFormat="1" x14ac:dyDescent="0.35"/>
    <row r="627" s="13" customFormat="1" x14ac:dyDescent="0.35"/>
    <row r="628" s="13" customFormat="1" x14ac:dyDescent="0.35"/>
    <row r="629" s="13" customFormat="1" x14ac:dyDescent="0.35"/>
    <row r="630" s="13" customFormat="1" x14ac:dyDescent="0.35"/>
    <row r="631" s="13" customFormat="1" x14ac:dyDescent="0.35"/>
    <row r="632" s="13" customFormat="1" x14ac:dyDescent="0.35"/>
    <row r="633" s="13" customFormat="1" x14ac:dyDescent="0.35"/>
    <row r="634" s="13" customFormat="1" x14ac:dyDescent="0.35"/>
    <row r="635" s="13" customFormat="1" x14ac:dyDescent="0.35"/>
    <row r="636" s="13" customFormat="1" x14ac:dyDescent="0.35"/>
    <row r="637" s="13" customFormat="1" x14ac:dyDescent="0.35"/>
    <row r="638" s="13" customFormat="1" x14ac:dyDescent="0.35"/>
    <row r="639" s="13" customFormat="1" x14ac:dyDescent="0.35"/>
    <row r="640" s="13" customFormat="1" x14ac:dyDescent="0.35"/>
    <row r="641" s="13" customFormat="1" x14ac:dyDescent="0.35"/>
    <row r="642" s="13" customFormat="1" x14ac:dyDescent="0.35"/>
    <row r="643" s="13" customFormat="1" x14ac:dyDescent="0.35"/>
    <row r="644" s="13" customFormat="1" x14ac:dyDescent="0.35"/>
    <row r="645" s="13" customFormat="1" x14ac:dyDescent="0.35"/>
    <row r="646" s="13" customFormat="1" x14ac:dyDescent="0.35"/>
    <row r="647" s="13" customFormat="1" x14ac:dyDescent="0.35"/>
    <row r="648" s="13" customFormat="1" x14ac:dyDescent="0.35"/>
    <row r="649" s="13" customFormat="1" x14ac:dyDescent="0.35"/>
    <row r="650" s="13" customFormat="1" x14ac:dyDescent="0.35"/>
    <row r="651" s="13" customFormat="1" x14ac:dyDescent="0.35"/>
    <row r="652" s="13" customFormat="1" x14ac:dyDescent="0.35"/>
    <row r="653" s="13" customFormat="1" x14ac:dyDescent="0.35"/>
    <row r="654" s="13" customFormat="1" x14ac:dyDescent="0.35"/>
    <row r="655" s="13" customFormat="1" x14ac:dyDescent="0.35"/>
    <row r="656" s="13" customFormat="1" x14ac:dyDescent="0.35"/>
    <row r="657" s="13" customFormat="1" x14ac:dyDescent="0.35"/>
    <row r="658" s="13" customFormat="1" x14ac:dyDescent="0.35"/>
    <row r="659" s="13" customFormat="1" x14ac:dyDescent="0.35"/>
    <row r="660" s="13" customFormat="1" x14ac:dyDescent="0.35"/>
    <row r="661" s="13" customFormat="1" x14ac:dyDescent="0.35"/>
    <row r="662" s="13" customFormat="1" x14ac:dyDescent="0.35"/>
    <row r="663" s="13" customFormat="1" x14ac:dyDescent="0.35"/>
    <row r="664" s="13" customFormat="1" x14ac:dyDescent="0.35"/>
    <row r="665" s="13" customFormat="1" x14ac:dyDescent="0.35"/>
    <row r="666" s="13" customFormat="1" x14ac:dyDescent="0.35"/>
    <row r="667" s="13" customFormat="1" x14ac:dyDescent="0.35"/>
    <row r="668" s="13" customFormat="1" x14ac:dyDescent="0.35"/>
    <row r="669" s="13" customFormat="1" x14ac:dyDescent="0.35"/>
    <row r="670" s="13" customFormat="1" x14ac:dyDescent="0.35"/>
    <row r="671" s="13" customFormat="1" x14ac:dyDescent="0.35"/>
    <row r="672" s="13" customFormat="1" x14ac:dyDescent="0.35"/>
    <row r="673" s="13" customFormat="1" x14ac:dyDescent="0.35"/>
    <row r="674" s="13" customFormat="1" x14ac:dyDescent="0.35"/>
    <row r="675" s="13" customFormat="1" x14ac:dyDescent="0.35"/>
    <row r="676" s="13" customFormat="1" x14ac:dyDescent="0.35"/>
    <row r="677" s="13" customFormat="1" x14ac:dyDescent="0.35"/>
    <row r="678" s="13" customFormat="1" x14ac:dyDescent="0.35"/>
    <row r="679" s="13" customFormat="1" x14ac:dyDescent="0.35"/>
    <row r="680" s="13" customFormat="1" x14ac:dyDescent="0.35"/>
    <row r="681" s="13" customFormat="1" x14ac:dyDescent="0.35"/>
    <row r="682" s="13" customFormat="1" x14ac:dyDescent="0.35"/>
    <row r="683" s="13" customFormat="1" x14ac:dyDescent="0.35"/>
    <row r="684" s="13" customFormat="1" x14ac:dyDescent="0.35"/>
    <row r="685" s="13" customFormat="1" x14ac:dyDescent="0.35"/>
    <row r="686" s="13" customFormat="1" x14ac:dyDescent="0.35"/>
    <row r="687" s="13" customFormat="1" x14ac:dyDescent="0.35"/>
    <row r="688" s="13" customFormat="1" x14ac:dyDescent="0.35"/>
    <row r="689" s="13" customFormat="1" x14ac:dyDescent="0.35"/>
    <row r="690" s="13" customFormat="1" x14ac:dyDescent="0.35"/>
    <row r="691" s="13" customFormat="1" x14ac:dyDescent="0.35"/>
    <row r="692" s="13" customFormat="1" x14ac:dyDescent="0.35"/>
    <row r="693" s="13" customFormat="1" x14ac:dyDescent="0.35"/>
    <row r="694" s="13" customFormat="1" x14ac:dyDescent="0.35"/>
    <row r="695" s="13" customFormat="1" x14ac:dyDescent="0.35"/>
    <row r="696" s="13" customFormat="1" x14ac:dyDescent="0.35"/>
    <row r="697" s="13" customFormat="1" x14ac:dyDescent="0.35"/>
    <row r="698" s="13" customFormat="1" x14ac:dyDescent="0.35"/>
    <row r="699" s="13" customFormat="1" x14ac:dyDescent="0.35"/>
    <row r="700" s="13" customFormat="1" x14ac:dyDescent="0.35"/>
    <row r="701" s="13" customFormat="1" x14ac:dyDescent="0.35"/>
    <row r="702" s="13" customFormat="1" x14ac:dyDescent="0.35"/>
    <row r="703" s="13" customFormat="1" x14ac:dyDescent="0.35"/>
    <row r="704" s="13" customFormat="1" x14ac:dyDescent="0.35"/>
    <row r="705" s="13" customFormat="1" x14ac:dyDescent="0.35"/>
    <row r="706" s="13" customFormat="1" x14ac:dyDescent="0.35"/>
    <row r="707" s="13" customFormat="1" x14ac:dyDescent="0.35"/>
    <row r="708" s="13" customFormat="1" x14ac:dyDescent="0.35"/>
    <row r="709" s="13" customFormat="1" x14ac:dyDescent="0.35"/>
    <row r="710" s="13" customFormat="1" x14ac:dyDescent="0.35"/>
    <row r="711" s="13" customFormat="1" x14ac:dyDescent="0.35"/>
    <row r="712" s="13" customFormat="1" x14ac:dyDescent="0.35"/>
    <row r="713" s="13" customFormat="1" x14ac:dyDescent="0.35"/>
    <row r="714" s="13" customFormat="1" x14ac:dyDescent="0.35"/>
    <row r="715" s="13" customFormat="1" x14ac:dyDescent="0.35"/>
    <row r="716" s="13" customFormat="1" x14ac:dyDescent="0.35"/>
    <row r="717" s="13" customFormat="1" x14ac:dyDescent="0.35"/>
    <row r="718" s="13" customFormat="1" x14ac:dyDescent="0.35"/>
    <row r="719" s="13" customFormat="1" x14ac:dyDescent="0.35"/>
    <row r="720" s="13" customFormat="1" x14ac:dyDescent="0.35"/>
    <row r="721" s="13" customFormat="1" x14ac:dyDescent="0.35"/>
    <row r="722" s="13" customFormat="1" x14ac:dyDescent="0.35"/>
    <row r="723" s="13" customFormat="1" x14ac:dyDescent="0.35"/>
    <row r="724" s="13" customFormat="1" x14ac:dyDescent="0.35"/>
    <row r="725" s="13" customFormat="1" x14ac:dyDescent="0.35"/>
    <row r="726" s="13" customFormat="1" x14ac:dyDescent="0.35"/>
    <row r="727" s="13" customFormat="1" x14ac:dyDescent="0.35"/>
    <row r="728" s="13" customFormat="1" x14ac:dyDescent="0.35"/>
    <row r="729" s="13" customFormat="1" x14ac:dyDescent="0.35"/>
    <row r="730" s="13" customFormat="1" x14ac:dyDescent="0.35"/>
    <row r="731" s="13" customFormat="1" x14ac:dyDescent="0.35"/>
    <row r="732" s="13" customFormat="1" x14ac:dyDescent="0.35"/>
    <row r="733" s="13" customFormat="1" x14ac:dyDescent="0.35"/>
    <row r="734" s="13" customFormat="1" x14ac:dyDescent="0.35"/>
    <row r="735" s="13" customFormat="1" x14ac:dyDescent="0.35"/>
    <row r="736" s="13" customFormat="1" x14ac:dyDescent="0.35"/>
    <row r="737" s="13" customFormat="1" x14ac:dyDescent="0.35"/>
    <row r="738" s="13" customFormat="1" x14ac:dyDescent="0.35"/>
    <row r="739" s="13" customFormat="1" x14ac:dyDescent="0.35"/>
    <row r="740" s="13" customFormat="1" x14ac:dyDescent="0.35"/>
    <row r="741" s="13" customFormat="1" x14ac:dyDescent="0.35"/>
    <row r="742" s="13" customFormat="1" x14ac:dyDescent="0.35"/>
    <row r="743" s="13" customFormat="1" x14ac:dyDescent="0.35"/>
    <row r="744" s="13" customFormat="1" x14ac:dyDescent="0.35"/>
    <row r="745" s="13" customFormat="1" x14ac:dyDescent="0.35"/>
    <row r="746" s="13" customFormat="1" x14ac:dyDescent="0.35"/>
    <row r="747" s="13" customFormat="1" x14ac:dyDescent="0.35"/>
    <row r="748" s="13" customFormat="1" x14ac:dyDescent="0.35"/>
    <row r="749" s="13" customFormat="1" x14ac:dyDescent="0.35"/>
    <row r="750" s="13" customFormat="1" x14ac:dyDescent="0.35"/>
    <row r="751" s="13" customFormat="1" x14ac:dyDescent="0.35"/>
    <row r="752" s="13" customFormat="1" x14ac:dyDescent="0.35"/>
    <row r="753" s="13" customFormat="1" x14ac:dyDescent="0.35"/>
    <row r="754" s="13" customFormat="1" x14ac:dyDescent="0.35"/>
    <row r="755" s="13" customFormat="1" x14ac:dyDescent="0.35"/>
    <row r="756" s="13" customFormat="1" x14ac:dyDescent="0.35"/>
    <row r="757" s="13" customFormat="1" x14ac:dyDescent="0.35"/>
    <row r="758" s="13" customFormat="1" x14ac:dyDescent="0.35"/>
    <row r="759" s="13" customFormat="1" x14ac:dyDescent="0.35"/>
    <row r="760" s="13" customFormat="1" x14ac:dyDescent="0.35"/>
    <row r="761" s="13" customFormat="1" x14ac:dyDescent="0.35"/>
    <row r="762" s="13" customFormat="1" x14ac:dyDescent="0.35"/>
    <row r="763" s="13" customFormat="1" x14ac:dyDescent="0.35"/>
    <row r="764" s="13" customFormat="1" x14ac:dyDescent="0.35"/>
    <row r="765" s="13" customFormat="1" x14ac:dyDescent="0.35"/>
    <row r="766" s="13" customFormat="1" x14ac:dyDescent="0.35"/>
    <row r="767" s="13" customFormat="1" x14ac:dyDescent="0.35"/>
    <row r="768" s="13" customFormat="1" x14ac:dyDescent="0.35"/>
    <row r="769" s="13" customFormat="1" x14ac:dyDescent="0.35"/>
    <row r="770" s="13" customFormat="1" x14ac:dyDescent="0.35"/>
    <row r="771" s="13" customFormat="1" x14ac:dyDescent="0.35"/>
    <row r="772" s="13" customFormat="1" x14ac:dyDescent="0.35"/>
    <row r="773" s="13" customFormat="1" x14ac:dyDescent="0.35"/>
    <row r="774" s="13" customFormat="1" x14ac:dyDescent="0.35"/>
    <row r="775" s="13" customFormat="1" x14ac:dyDescent="0.35"/>
    <row r="776" s="13" customFormat="1" x14ac:dyDescent="0.35"/>
    <row r="777" s="13" customFormat="1" x14ac:dyDescent="0.35"/>
    <row r="778" s="13" customFormat="1" x14ac:dyDescent="0.35"/>
    <row r="779" s="13" customFormat="1" x14ac:dyDescent="0.35"/>
    <row r="780" s="13" customFormat="1" x14ac:dyDescent="0.35"/>
    <row r="781" s="13" customFormat="1" x14ac:dyDescent="0.35"/>
    <row r="782" s="13" customFormat="1" x14ac:dyDescent="0.35"/>
    <row r="783" s="13" customFormat="1" x14ac:dyDescent="0.35"/>
    <row r="784" s="13" customFormat="1" x14ac:dyDescent="0.35"/>
    <row r="785" s="13" customFormat="1" x14ac:dyDescent="0.35"/>
    <row r="786" s="13" customFormat="1" x14ac:dyDescent="0.35"/>
    <row r="787" s="13" customFormat="1" x14ac:dyDescent="0.35"/>
    <row r="788" s="13" customFormat="1" x14ac:dyDescent="0.35"/>
    <row r="789" s="13" customFormat="1" x14ac:dyDescent="0.35"/>
    <row r="790" s="13" customFormat="1" x14ac:dyDescent="0.35"/>
    <row r="791" s="13" customFormat="1" x14ac:dyDescent="0.35"/>
    <row r="792" s="13" customFormat="1" x14ac:dyDescent="0.35"/>
    <row r="793" s="13" customFormat="1" x14ac:dyDescent="0.35"/>
    <row r="794" s="13" customFormat="1" x14ac:dyDescent="0.35"/>
    <row r="795" s="13" customFormat="1" x14ac:dyDescent="0.35"/>
    <row r="796" s="13" customFormat="1" x14ac:dyDescent="0.35"/>
    <row r="797" s="13" customFormat="1" x14ac:dyDescent="0.35"/>
    <row r="798" s="13" customFormat="1" x14ac:dyDescent="0.35"/>
    <row r="799" s="13" customFormat="1" x14ac:dyDescent="0.35"/>
    <row r="800" s="13" customFormat="1" x14ac:dyDescent="0.35"/>
    <row r="801" s="13" customFormat="1" x14ac:dyDescent="0.35"/>
    <row r="802" s="13" customFormat="1" x14ac:dyDescent="0.35"/>
    <row r="803" s="13" customFormat="1" x14ac:dyDescent="0.35"/>
    <row r="804" s="13" customFormat="1" x14ac:dyDescent="0.35"/>
    <row r="805" s="13" customFormat="1" x14ac:dyDescent="0.35"/>
    <row r="806" s="13" customFormat="1" x14ac:dyDescent="0.35"/>
    <row r="807" s="13" customFormat="1" x14ac:dyDescent="0.35"/>
    <row r="808" s="13" customFormat="1" x14ac:dyDescent="0.35"/>
    <row r="809" s="13" customFormat="1" x14ac:dyDescent="0.35"/>
    <row r="810" s="13" customFormat="1" x14ac:dyDescent="0.35"/>
    <row r="811" s="13" customFormat="1" x14ac:dyDescent="0.35"/>
    <row r="812" s="13" customFormat="1" x14ac:dyDescent="0.35"/>
    <row r="813" s="13" customFormat="1" x14ac:dyDescent="0.35"/>
    <row r="814" s="13" customFormat="1" x14ac:dyDescent="0.35"/>
    <row r="815" s="13" customFormat="1" x14ac:dyDescent="0.35"/>
    <row r="816" s="13" customFormat="1" x14ac:dyDescent="0.35"/>
    <row r="817" s="13" customFormat="1" x14ac:dyDescent="0.35"/>
    <row r="818" s="13" customFormat="1" x14ac:dyDescent="0.35"/>
    <row r="819" s="13" customFormat="1" x14ac:dyDescent="0.35"/>
    <row r="820" s="13" customFormat="1" x14ac:dyDescent="0.35"/>
    <row r="821" s="13" customFormat="1" x14ac:dyDescent="0.35"/>
    <row r="822" s="13" customFormat="1" x14ac:dyDescent="0.35"/>
    <row r="823" s="13" customFormat="1" x14ac:dyDescent="0.35"/>
    <row r="824" s="13" customFormat="1" x14ac:dyDescent="0.35"/>
    <row r="825" s="13" customFormat="1" x14ac:dyDescent="0.35"/>
    <row r="826" s="13" customFormat="1" x14ac:dyDescent="0.35"/>
    <row r="827" s="13" customFormat="1" x14ac:dyDescent="0.35"/>
    <row r="828" s="13" customFormat="1" x14ac:dyDescent="0.35"/>
    <row r="829" s="13" customFormat="1" x14ac:dyDescent="0.35"/>
    <row r="830" s="13" customFormat="1" x14ac:dyDescent="0.35"/>
    <row r="831" s="13" customFormat="1" x14ac:dyDescent="0.35"/>
    <row r="832" s="13" customFormat="1" x14ac:dyDescent="0.35"/>
    <row r="833" s="13" customFormat="1" x14ac:dyDescent="0.35"/>
    <row r="834" s="13" customFormat="1" x14ac:dyDescent="0.35"/>
    <row r="835" s="13" customFormat="1" x14ac:dyDescent="0.35"/>
    <row r="836" s="13" customFormat="1" x14ac:dyDescent="0.35"/>
    <row r="837" s="13" customFormat="1" x14ac:dyDescent="0.35"/>
    <row r="838" s="13" customFormat="1" x14ac:dyDescent="0.35"/>
    <row r="839" s="13" customFormat="1" x14ac:dyDescent="0.35"/>
    <row r="840" s="13" customFormat="1" x14ac:dyDescent="0.35"/>
    <row r="841" s="13" customFormat="1" x14ac:dyDescent="0.35"/>
    <row r="842" s="13" customFormat="1" x14ac:dyDescent="0.35"/>
    <row r="843" s="13" customFormat="1" x14ac:dyDescent="0.35"/>
    <row r="844" s="13" customFormat="1" x14ac:dyDescent="0.35"/>
    <row r="845" s="13" customFormat="1" x14ac:dyDescent="0.35"/>
    <row r="846" s="13" customFormat="1" x14ac:dyDescent="0.35"/>
    <row r="847" s="13" customFormat="1" x14ac:dyDescent="0.35"/>
    <row r="848" s="13" customFormat="1" x14ac:dyDescent="0.35"/>
    <row r="849" s="13" customFormat="1" x14ac:dyDescent="0.35"/>
    <row r="850" s="13" customFormat="1" x14ac:dyDescent="0.35"/>
    <row r="851" s="13" customFormat="1" x14ac:dyDescent="0.35"/>
    <row r="852" s="13" customFormat="1" x14ac:dyDescent="0.35"/>
    <row r="853" s="13" customFormat="1" x14ac:dyDescent="0.35"/>
    <row r="854" s="13" customFormat="1" x14ac:dyDescent="0.35"/>
    <row r="855" s="13" customFormat="1" x14ac:dyDescent="0.35"/>
    <row r="856" s="13" customFormat="1" x14ac:dyDescent="0.35"/>
    <row r="857" s="13" customFormat="1" x14ac:dyDescent="0.35"/>
    <row r="858" s="13" customFormat="1" x14ac:dyDescent="0.35"/>
    <row r="859" s="13" customFormat="1" x14ac:dyDescent="0.35"/>
    <row r="860" s="13" customFormat="1" x14ac:dyDescent="0.35"/>
    <row r="861" s="13" customFormat="1" x14ac:dyDescent="0.35"/>
    <row r="862" s="13" customFormat="1" x14ac:dyDescent="0.35"/>
    <row r="863" s="13" customFormat="1" x14ac:dyDescent="0.35"/>
    <row r="864" s="13" customFormat="1" x14ac:dyDescent="0.35"/>
    <row r="865" s="13" customFormat="1" x14ac:dyDescent="0.35"/>
    <row r="866" s="13" customFormat="1" x14ac:dyDescent="0.35"/>
    <row r="867" s="13" customFormat="1" x14ac:dyDescent="0.35"/>
    <row r="868" s="13" customFormat="1" x14ac:dyDescent="0.35"/>
    <row r="869" s="13" customFormat="1" x14ac:dyDescent="0.35"/>
    <row r="870" s="13" customFormat="1" x14ac:dyDescent="0.35"/>
    <row r="871" s="13" customFormat="1" x14ac:dyDescent="0.35"/>
    <row r="872" s="13" customFormat="1" x14ac:dyDescent="0.35"/>
    <row r="873" s="13" customFormat="1" x14ac:dyDescent="0.35"/>
    <row r="874" s="13" customFormat="1" x14ac:dyDescent="0.35"/>
    <row r="875" s="13" customFormat="1" x14ac:dyDescent="0.35"/>
    <row r="876" s="13" customFormat="1" x14ac:dyDescent="0.35"/>
    <row r="877" s="13" customFormat="1" x14ac:dyDescent="0.35"/>
    <row r="878" s="13" customFormat="1" x14ac:dyDescent="0.35"/>
    <row r="879" s="13" customFormat="1" x14ac:dyDescent="0.35"/>
    <row r="880" s="13" customFormat="1" x14ac:dyDescent="0.35"/>
    <row r="881" s="13" customFormat="1" x14ac:dyDescent="0.35"/>
    <row r="882" s="13" customFormat="1" x14ac:dyDescent="0.35"/>
    <row r="883" s="13" customFormat="1" x14ac:dyDescent="0.35"/>
    <row r="884" s="13" customFormat="1" x14ac:dyDescent="0.35"/>
    <row r="885" s="13" customFormat="1" x14ac:dyDescent="0.35"/>
    <row r="886" s="13" customFormat="1" x14ac:dyDescent="0.35"/>
    <row r="887" s="13" customFormat="1" x14ac:dyDescent="0.35"/>
    <row r="888" s="13" customFormat="1" x14ac:dyDescent="0.35"/>
    <row r="889" s="13" customFormat="1" x14ac:dyDescent="0.35"/>
    <row r="890" s="13" customFormat="1" x14ac:dyDescent="0.35"/>
    <row r="891" s="13" customFormat="1" x14ac:dyDescent="0.35"/>
    <row r="892" s="13" customFormat="1" x14ac:dyDescent="0.35"/>
    <row r="893" s="13" customFormat="1" x14ac:dyDescent="0.35"/>
    <row r="894" s="13" customFormat="1" x14ac:dyDescent="0.35"/>
    <row r="895" s="13" customFormat="1" x14ac:dyDescent="0.35"/>
    <row r="896" s="13" customFormat="1" x14ac:dyDescent="0.35"/>
    <row r="897" s="13" customFormat="1" x14ac:dyDescent="0.35"/>
    <row r="898" s="13" customFormat="1" x14ac:dyDescent="0.35"/>
    <row r="899" s="13" customFormat="1" x14ac:dyDescent="0.35"/>
    <row r="900" s="13" customFormat="1" x14ac:dyDescent="0.35"/>
    <row r="901" s="13" customFormat="1" x14ac:dyDescent="0.35"/>
    <row r="902" s="13" customFormat="1" x14ac:dyDescent="0.35"/>
    <row r="903" s="13" customFormat="1" x14ac:dyDescent="0.35"/>
    <row r="904" s="13" customFormat="1" x14ac:dyDescent="0.35"/>
    <row r="905" s="13" customFormat="1" x14ac:dyDescent="0.35"/>
    <row r="906" s="13" customFormat="1" x14ac:dyDescent="0.35"/>
    <row r="907" s="13" customFormat="1" x14ac:dyDescent="0.35"/>
    <row r="908" s="13" customFormat="1" x14ac:dyDescent="0.35"/>
    <row r="909" s="13" customFormat="1" x14ac:dyDescent="0.35"/>
    <row r="910" s="13" customFormat="1" x14ac:dyDescent="0.35"/>
    <row r="911" s="13" customFormat="1" x14ac:dyDescent="0.35"/>
    <row r="912" s="13" customFormat="1" x14ac:dyDescent="0.35"/>
    <row r="913" s="13" customFormat="1" x14ac:dyDescent="0.35"/>
    <row r="914" s="13" customFormat="1" x14ac:dyDescent="0.35"/>
    <row r="915" s="13" customFormat="1" x14ac:dyDescent="0.35"/>
    <row r="916" s="13" customFormat="1" x14ac:dyDescent="0.35"/>
    <row r="917" s="13" customFormat="1" x14ac:dyDescent="0.35"/>
    <row r="918" s="13" customFormat="1" x14ac:dyDescent="0.35"/>
    <row r="919" s="13" customFormat="1" x14ac:dyDescent="0.35"/>
    <row r="920" s="13" customFormat="1" x14ac:dyDescent="0.35"/>
    <row r="921" s="13" customFormat="1" x14ac:dyDescent="0.35"/>
    <row r="922" s="13" customFormat="1" x14ac:dyDescent="0.35"/>
    <row r="923" s="13" customFormat="1" x14ac:dyDescent="0.35"/>
    <row r="924" s="13" customFormat="1" x14ac:dyDescent="0.35"/>
    <row r="925" s="13" customFormat="1" x14ac:dyDescent="0.35"/>
    <row r="926" s="13" customFormat="1" x14ac:dyDescent="0.35"/>
    <row r="927" s="13" customFormat="1" x14ac:dyDescent="0.35"/>
    <row r="928" s="13" customFormat="1" x14ac:dyDescent="0.35"/>
    <row r="929" s="13" customFormat="1" x14ac:dyDescent="0.35"/>
    <row r="930" s="13" customFormat="1" x14ac:dyDescent="0.35"/>
    <row r="931" s="13" customFormat="1" x14ac:dyDescent="0.35"/>
    <row r="932" s="13" customFormat="1" x14ac:dyDescent="0.35"/>
    <row r="933" s="13" customFormat="1" x14ac:dyDescent="0.35"/>
    <row r="934" s="13" customFormat="1" x14ac:dyDescent="0.35"/>
    <row r="935" s="13" customFormat="1" x14ac:dyDescent="0.35"/>
    <row r="936" s="13" customFormat="1" x14ac:dyDescent="0.35"/>
    <row r="937" s="13" customFormat="1" x14ac:dyDescent="0.35"/>
    <row r="938" s="13" customFormat="1" x14ac:dyDescent="0.35"/>
    <row r="939" s="13" customFormat="1" x14ac:dyDescent="0.35"/>
    <row r="940" s="13" customFormat="1" x14ac:dyDescent="0.35"/>
    <row r="941" s="13" customFormat="1" x14ac:dyDescent="0.35"/>
    <row r="942" s="13" customFormat="1" x14ac:dyDescent="0.35"/>
    <row r="943" s="13" customFormat="1" x14ac:dyDescent="0.35"/>
    <row r="944" s="13" customFormat="1" x14ac:dyDescent="0.35"/>
    <row r="945" s="13" customFormat="1" x14ac:dyDescent="0.35"/>
    <row r="946" s="13" customFormat="1" x14ac:dyDescent="0.35"/>
    <row r="947" s="13" customFormat="1" x14ac:dyDescent="0.35"/>
    <row r="948" s="13" customFormat="1" x14ac:dyDescent="0.35"/>
    <row r="949" s="13" customFormat="1" x14ac:dyDescent="0.35"/>
    <row r="950" s="13" customFormat="1" x14ac:dyDescent="0.35"/>
    <row r="951" s="13" customFormat="1" x14ac:dyDescent="0.35"/>
    <row r="952" s="13" customFormat="1" x14ac:dyDescent="0.35"/>
    <row r="953" s="13" customFormat="1" x14ac:dyDescent="0.35"/>
    <row r="954" s="13" customFormat="1" x14ac:dyDescent="0.35"/>
    <row r="955" s="13" customFormat="1" x14ac:dyDescent="0.35"/>
    <row r="956" s="13" customFormat="1" x14ac:dyDescent="0.35"/>
    <row r="957" s="13" customFormat="1" x14ac:dyDescent="0.35"/>
    <row r="958" s="13" customFormat="1" x14ac:dyDescent="0.35"/>
    <row r="959" s="13" customFormat="1" x14ac:dyDescent="0.35"/>
    <row r="960" s="13" customFormat="1" x14ac:dyDescent="0.35"/>
    <row r="961" s="13" customFormat="1" x14ac:dyDescent="0.35"/>
    <row r="962" s="13" customFormat="1" x14ac:dyDescent="0.35"/>
    <row r="963" s="13" customFormat="1" x14ac:dyDescent="0.35"/>
    <row r="964" s="13" customFormat="1" x14ac:dyDescent="0.35"/>
    <row r="965" s="13" customFormat="1" x14ac:dyDescent="0.35"/>
    <row r="966" s="13" customFormat="1" x14ac:dyDescent="0.35"/>
    <row r="967" s="13" customFormat="1" x14ac:dyDescent="0.35"/>
    <row r="968" s="13" customFormat="1" x14ac:dyDescent="0.35"/>
    <row r="969" s="13" customFormat="1" x14ac:dyDescent="0.35"/>
    <row r="970" s="13" customFormat="1" x14ac:dyDescent="0.35"/>
    <row r="971" s="13" customFormat="1" x14ac:dyDescent="0.35"/>
    <row r="972" s="13" customFormat="1" x14ac:dyDescent="0.35"/>
    <row r="973" s="13" customFormat="1" x14ac:dyDescent="0.35"/>
    <row r="974" s="13" customFormat="1" x14ac:dyDescent="0.35"/>
    <row r="975" s="13" customFormat="1" x14ac:dyDescent="0.35"/>
    <row r="976" s="13" customFormat="1" x14ac:dyDescent="0.35"/>
    <row r="977" s="13" customFormat="1" x14ac:dyDescent="0.35"/>
    <row r="978" s="13" customFormat="1" x14ac:dyDescent="0.35"/>
    <row r="979" s="13" customFormat="1" x14ac:dyDescent="0.35"/>
    <row r="980" s="13" customFormat="1" x14ac:dyDescent="0.35"/>
    <row r="981" s="13" customFormat="1" x14ac:dyDescent="0.35"/>
    <row r="982" s="13" customFormat="1" x14ac:dyDescent="0.35"/>
    <row r="983" s="13" customFormat="1" x14ac:dyDescent="0.35"/>
    <row r="984" s="13" customFormat="1" x14ac:dyDescent="0.35"/>
    <row r="985" s="13" customFormat="1" x14ac:dyDescent="0.35"/>
    <row r="986" s="13" customFormat="1" x14ac:dyDescent="0.35"/>
    <row r="987" s="13" customFormat="1" x14ac:dyDescent="0.35"/>
    <row r="988" s="13" customFormat="1" x14ac:dyDescent="0.35"/>
    <row r="989" s="13" customFormat="1" x14ac:dyDescent="0.35"/>
    <row r="990" s="13" customFormat="1" x14ac:dyDescent="0.35"/>
    <row r="991" s="13" customFormat="1" x14ac:dyDescent="0.35"/>
    <row r="992" s="13" customFormat="1" x14ac:dyDescent="0.35"/>
    <row r="993" s="13" customFormat="1" x14ac:dyDescent="0.35"/>
    <row r="994" s="13" customFormat="1" x14ac:dyDescent="0.35"/>
    <row r="995" s="13" customFormat="1" x14ac:dyDescent="0.35"/>
    <row r="996" s="13" customFormat="1" x14ac:dyDescent="0.35"/>
    <row r="997" s="13" customFormat="1" x14ac:dyDescent="0.35"/>
    <row r="998" s="13" customFormat="1" x14ac:dyDescent="0.35"/>
    <row r="999" s="13" customFormat="1" x14ac:dyDescent="0.35"/>
    <row r="1000" s="13" customFormat="1" x14ac:dyDescent="0.35"/>
    <row r="1001" s="13" customFormat="1" x14ac:dyDescent="0.35"/>
    <row r="1002" s="13" customFormat="1" x14ac:dyDescent="0.35"/>
    <row r="1003" s="13" customFormat="1" x14ac:dyDescent="0.35"/>
    <row r="1004" s="13" customFormat="1" x14ac:dyDescent="0.35"/>
    <row r="1005" s="13" customFormat="1" x14ac:dyDescent="0.35"/>
    <row r="1006" s="13" customFormat="1" x14ac:dyDescent="0.35"/>
    <row r="1007" s="13" customFormat="1" x14ac:dyDescent="0.35"/>
    <row r="1008" s="13" customFormat="1" x14ac:dyDescent="0.35"/>
    <row r="1009" s="13" customFormat="1" x14ac:dyDescent="0.35"/>
    <row r="1010" s="13" customFormat="1" x14ac:dyDescent="0.35"/>
    <row r="1011" s="13" customFormat="1" x14ac:dyDescent="0.35"/>
    <row r="1012" s="13" customFormat="1" x14ac:dyDescent="0.35"/>
    <row r="1013" s="13" customFormat="1" x14ac:dyDescent="0.35"/>
    <row r="1014" s="13" customFormat="1" x14ac:dyDescent="0.35"/>
    <row r="1015" s="13" customFormat="1" x14ac:dyDescent="0.35"/>
    <row r="1016" s="13" customFormat="1" x14ac:dyDescent="0.35"/>
    <row r="1017" s="13" customFormat="1" x14ac:dyDescent="0.35"/>
    <row r="1018" s="13" customFormat="1" x14ac:dyDescent="0.35"/>
    <row r="1019" s="13" customFormat="1" x14ac:dyDescent="0.35"/>
    <row r="1020" s="13" customFormat="1" x14ac:dyDescent="0.35"/>
    <row r="1021" s="13" customFormat="1" x14ac:dyDescent="0.35"/>
    <row r="1022" s="13" customFormat="1" x14ac:dyDescent="0.35"/>
    <row r="1023" s="13" customFormat="1" x14ac:dyDescent="0.35"/>
    <row r="1024" s="13" customFormat="1" x14ac:dyDescent="0.35"/>
    <row r="1025" s="13" customFormat="1" x14ac:dyDescent="0.35"/>
    <row r="1026" s="13" customFormat="1" x14ac:dyDescent="0.35"/>
    <row r="1027" s="13" customFormat="1" x14ac:dyDescent="0.35"/>
    <row r="1028" s="13" customFormat="1" x14ac:dyDescent="0.35"/>
    <row r="1029" s="13" customFormat="1" x14ac:dyDescent="0.35"/>
    <row r="1030" s="13" customFormat="1" x14ac:dyDescent="0.35"/>
    <row r="1031" s="13" customFormat="1" x14ac:dyDescent="0.35"/>
    <row r="1032" s="13" customFormat="1" x14ac:dyDescent="0.35"/>
    <row r="1033" s="13" customFormat="1" x14ac:dyDescent="0.35"/>
    <row r="1034" s="13" customFormat="1" x14ac:dyDescent="0.35"/>
    <row r="1035" s="13" customFormat="1" x14ac:dyDescent="0.35"/>
    <row r="1036" s="13" customFormat="1" x14ac:dyDescent="0.35"/>
    <row r="1037" s="13" customFormat="1" x14ac:dyDescent="0.35"/>
    <row r="1038" s="13" customFormat="1" x14ac:dyDescent="0.35"/>
    <row r="1039" s="13" customFormat="1" x14ac:dyDescent="0.35"/>
    <row r="1040" s="13" customFormat="1" x14ac:dyDescent="0.35"/>
    <row r="1041" s="13" customFormat="1" x14ac:dyDescent="0.35"/>
    <row r="1042" s="13" customFormat="1" x14ac:dyDescent="0.35"/>
    <row r="1043" s="13" customFormat="1" x14ac:dyDescent="0.35"/>
    <row r="1044" s="13" customFormat="1" x14ac:dyDescent="0.35"/>
    <row r="1045" s="13" customFormat="1" x14ac:dyDescent="0.35"/>
    <row r="1046" s="13" customFormat="1" x14ac:dyDescent="0.35"/>
    <row r="1047" s="13" customFormat="1" x14ac:dyDescent="0.35"/>
    <row r="1048" s="13" customFormat="1" x14ac:dyDescent="0.35"/>
    <row r="1049" s="13" customFormat="1" x14ac:dyDescent="0.35"/>
    <row r="1050" s="13" customFormat="1" x14ac:dyDescent="0.35"/>
    <row r="1051" s="13" customFormat="1" x14ac:dyDescent="0.35"/>
    <row r="1052" s="13" customFormat="1" x14ac:dyDescent="0.35"/>
    <row r="1053" s="13" customFormat="1" x14ac:dyDescent="0.35"/>
    <row r="1054" s="13" customFormat="1" x14ac:dyDescent="0.35"/>
    <row r="1055" s="13" customFormat="1" x14ac:dyDescent="0.35"/>
    <row r="1056" s="13" customFormat="1" x14ac:dyDescent="0.35"/>
    <row r="1057" s="13" customFormat="1" x14ac:dyDescent="0.35"/>
    <row r="1058" s="13" customFormat="1" x14ac:dyDescent="0.35"/>
    <row r="1059" s="13" customFormat="1" x14ac:dyDescent="0.35"/>
    <row r="1060" s="13" customFormat="1" x14ac:dyDescent="0.35"/>
    <row r="1061" s="13" customFormat="1" x14ac:dyDescent="0.35"/>
    <row r="1062" s="13" customFormat="1" x14ac:dyDescent="0.35"/>
    <row r="1063" s="13" customFormat="1" x14ac:dyDescent="0.35"/>
    <row r="1064" s="13" customFormat="1" x14ac:dyDescent="0.35"/>
    <row r="1065" s="13" customFormat="1" x14ac:dyDescent="0.35"/>
    <row r="1066" s="13" customFormat="1" x14ac:dyDescent="0.35"/>
    <row r="1067" s="13" customFormat="1" x14ac:dyDescent="0.35"/>
    <row r="1068" s="13" customFormat="1" x14ac:dyDescent="0.35"/>
    <row r="1069" s="13" customFormat="1" x14ac:dyDescent="0.35"/>
    <row r="1070" s="13" customFormat="1" x14ac:dyDescent="0.35"/>
    <row r="1071" s="13" customFormat="1" x14ac:dyDescent="0.35"/>
    <row r="1072" s="13" customFormat="1" x14ac:dyDescent="0.35"/>
    <row r="1073" s="13" customFormat="1" x14ac:dyDescent="0.35"/>
    <row r="1074" s="13" customFormat="1" x14ac:dyDescent="0.35"/>
    <row r="1075" s="13" customFormat="1" x14ac:dyDescent="0.35"/>
    <row r="1076" s="13" customFormat="1" x14ac:dyDescent="0.35"/>
    <row r="1077" s="13" customFormat="1" x14ac:dyDescent="0.35"/>
    <row r="1078" s="13" customFormat="1" x14ac:dyDescent="0.35"/>
    <row r="1079" s="13" customFormat="1" x14ac:dyDescent="0.35"/>
    <row r="1080" s="13" customFormat="1" x14ac:dyDescent="0.35"/>
    <row r="1081" s="13" customFormat="1" x14ac:dyDescent="0.35"/>
    <row r="1082" s="13" customFormat="1" x14ac:dyDescent="0.35"/>
    <row r="1083" s="13" customFormat="1" x14ac:dyDescent="0.35"/>
    <row r="1084" s="13" customFormat="1" x14ac:dyDescent="0.35"/>
    <row r="1085" s="13" customFormat="1" x14ac:dyDescent="0.35"/>
    <row r="1086" s="13" customFormat="1" x14ac:dyDescent="0.35"/>
    <row r="1087" s="13" customFormat="1" x14ac:dyDescent="0.35"/>
    <row r="1088" s="13" customFormat="1" x14ac:dyDescent="0.35"/>
    <row r="1089" s="13" customFormat="1" x14ac:dyDescent="0.35"/>
    <row r="1090" s="13" customFormat="1" x14ac:dyDescent="0.35"/>
    <row r="1091" s="13" customFormat="1" x14ac:dyDescent="0.35"/>
    <row r="1092" s="13" customFormat="1" x14ac:dyDescent="0.35"/>
    <row r="1093" s="13" customFormat="1" x14ac:dyDescent="0.35"/>
    <row r="1094" s="13" customFormat="1" x14ac:dyDescent="0.35"/>
    <row r="1095" s="13" customFormat="1" x14ac:dyDescent="0.35"/>
    <row r="1096" s="13" customFormat="1" x14ac:dyDescent="0.35"/>
    <row r="1097" s="13" customFormat="1" x14ac:dyDescent="0.35"/>
    <row r="1098" s="13" customFormat="1" x14ac:dyDescent="0.35"/>
    <row r="1099" s="13" customFormat="1" x14ac:dyDescent="0.35"/>
    <row r="1100" s="13" customFormat="1" x14ac:dyDescent="0.35"/>
    <row r="1101" s="13" customFormat="1" x14ac:dyDescent="0.35"/>
    <row r="1102" s="13" customFormat="1" x14ac:dyDescent="0.35"/>
    <row r="1103" s="13" customFormat="1" x14ac:dyDescent="0.35"/>
    <row r="1104" s="13" customFormat="1" x14ac:dyDescent="0.35"/>
    <row r="1105" s="13" customFormat="1" x14ac:dyDescent="0.35"/>
    <row r="1106" s="13" customFormat="1" x14ac:dyDescent="0.35"/>
    <row r="1107" s="13" customFormat="1" x14ac:dyDescent="0.35"/>
    <row r="1108" s="13" customFormat="1" x14ac:dyDescent="0.35"/>
    <row r="1109" s="13" customFormat="1" x14ac:dyDescent="0.35"/>
    <row r="1110" s="13" customFormat="1" x14ac:dyDescent="0.35"/>
    <row r="1111" s="13" customFormat="1" x14ac:dyDescent="0.35"/>
    <row r="1112" s="13" customFormat="1" x14ac:dyDescent="0.35"/>
    <row r="1113" s="13" customFormat="1" x14ac:dyDescent="0.35"/>
    <row r="1114" s="13" customFormat="1" x14ac:dyDescent="0.35"/>
    <row r="1115" s="13" customFormat="1" x14ac:dyDescent="0.35"/>
    <row r="1116" s="13" customFormat="1" x14ac:dyDescent="0.35"/>
    <row r="1117" s="13" customFormat="1" x14ac:dyDescent="0.35"/>
    <row r="1118" s="13" customFormat="1" x14ac:dyDescent="0.35"/>
    <row r="1119" s="13" customFormat="1" x14ac:dyDescent="0.35"/>
    <row r="1120" s="13" customFormat="1" x14ac:dyDescent="0.35"/>
    <row r="1121" s="13" customFormat="1" x14ac:dyDescent="0.35"/>
    <row r="1122" s="13" customFormat="1" x14ac:dyDescent="0.35"/>
    <row r="1123" s="13" customFormat="1" x14ac:dyDescent="0.35"/>
    <row r="1124" s="13" customFormat="1" x14ac:dyDescent="0.35"/>
    <row r="1125" s="13" customFormat="1" x14ac:dyDescent="0.35"/>
    <row r="1126" s="13" customFormat="1" x14ac:dyDescent="0.35"/>
    <row r="1127" s="13" customFormat="1" x14ac:dyDescent="0.35"/>
    <row r="1128" s="13" customFormat="1" x14ac:dyDescent="0.35"/>
    <row r="1129" s="13" customFormat="1" x14ac:dyDescent="0.35"/>
    <row r="1130" s="13" customFormat="1" x14ac:dyDescent="0.35"/>
    <row r="1131" s="13" customFormat="1" x14ac:dyDescent="0.35"/>
    <row r="1132" s="13" customFormat="1" x14ac:dyDescent="0.35"/>
    <row r="1133" s="13" customFormat="1" x14ac:dyDescent="0.35"/>
    <row r="1134" s="13" customFormat="1" x14ac:dyDescent="0.35"/>
    <row r="1135" s="13" customFormat="1" x14ac:dyDescent="0.35"/>
    <row r="1136" s="13" customFormat="1" x14ac:dyDescent="0.35"/>
    <row r="1137" s="13" customFormat="1" x14ac:dyDescent="0.35"/>
    <row r="1138" s="13" customFormat="1" x14ac:dyDescent="0.35"/>
    <row r="1139" s="13" customFormat="1" x14ac:dyDescent="0.35"/>
    <row r="1140" s="13" customFormat="1" x14ac:dyDescent="0.35"/>
    <row r="1141" s="13" customFormat="1" x14ac:dyDescent="0.35"/>
    <row r="1142" s="13" customFormat="1" x14ac:dyDescent="0.35"/>
    <row r="1143" s="13" customFormat="1" x14ac:dyDescent="0.35"/>
    <row r="1144" s="13" customFormat="1" x14ac:dyDescent="0.35"/>
    <row r="1145" s="13" customFormat="1" x14ac:dyDescent="0.35"/>
    <row r="1146" s="13" customFormat="1" x14ac:dyDescent="0.35"/>
    <row r="1147" s="13" customFormat="1" x14ac:dyDescent="0.35"/>
    <row r="1148" s="13" customFormat="1" x14ac:dyDescent="0.35"/>
    <row r="1149" s="13" customFormat="1" x14ac:dyDescent="0.35"/>
    <row r="1150" s="13" customFormat="1" x14ac:dyDescent="0.35"/>
    <row r="1151" s="13" customFormat="1" x14ac:dyDescent="0.35"/>
    <row r="1152" s="13" customFormat="1" x14ac:dyDescent="0.35"/>
    <row r="1153" s="13" customFormat="1" x14ac:dyDescent="0.35"/>
    <row r="1154" s="13" customFormat="1" x14ac:dyDescent="0.35"/>
    <row r="1155" s="13" customFormat="1" x14ac:dyDescent="0.35"/>
    <row r="1156" s="13" customFormat="1" x14ac:dyDescent="0.35"/>
    <row r="1157" s="13" customFormat="1" x14ac:dyDescent="0.35"/>
    <row r="1158" s="13" customFormat="1" x14ac:dyDescent="0.35"/>
    <row r="1159" s="13" customFormat="1" x14ac:dyDescent="0.35"/>
    <row r="1160" s="13" customFormat="1" x14ac:dyDescent="0.35"/>
    <row r="1161" s="13" customFormat="1" x14ac:dyDescent="0.35"/>
    <row r="1162" s="13" customFormat="1" x14ac:dyDescent="0.35"/>
    <row r="1163" s="13" customFormat="1" x14ac:dyDescent="0.35"/>
    <row r="1164" s="13" customFormat="1" x14ac:dyDescent="0.35"/>
    <row r="1165" s="13" customFormat="1" x14ac:dyDescent="0.35"/>
    <row r="1166" s="13" customFormat="1" x14ac:dyDescent="0.35"/>
    <row r="1167" s="13" customFormat="1" x14ac:dyDescent="0.35"/>
    <row r="1168" s="13" customFormat="1" x14ac:dyDescent="0.35"/>
    <row r="1169" s="13" customFormat="1" x14ac:dyDescent="0.35"/>
    <row r="1170" s="13" customFormat="1" x14ac:dyDescent="0.35"/>
    <row r="1171" s="13" customFormat="1" x14ac:dyDescent="0.35"/>
    <row r="1172" s="13" customFormat="1" x14ac:dyDescent="0.35"/>
    <row r="1173" s="13" customFormat="1" x14ac:dyDescent="0.35"/>
    <row r="1174" s="13" customFormat="1" x14ac:dyDescent="0.35"/>
    <row r="1175" s="13" customFormat="1" x14ac:dyDescent="0.35"/>
    <row r="1176" s="13" customFormat="1" x14ac:dyDescent="0.35"/>
    <row r="1177" s="13" customFormat="1" x14ac:dyDescent="0.35"/>
    <row r="1178" s="13" customFormat="1" x14ac:dyDescent="0.35"/>
    <row r="1179" s="13" customFormat="1" x14ac:dyDescent="0.35"/>
    <row r="1180" s="13" customFormat="1" x14ac:dyDescent="0.35"/>
    <row r="1181" s="13" customFormat="1" x14ac:dyDescent="0.35"/>
    <row r="1182" s="13" customFormat="1" x14ac:dyDescent="0.35"/>
    <row r="1183" s="13" customFormat="1" x14ac:dyDescent="0.35"/>
    <row r="1184" s="13" customFormat="1" x14ac:dyDescent="0.35"/>
    <row r="1185" s="13" customFormat="1" x14ac:dyDescent="0.35"/>
    <row r="1186" s="13" customFormat="1" x14ac:dyDescent="0.35"/>
    <row r="1187" s="13" customFormat="1" x14ac:dyDescent="0.35"/>
    <row r="1188" s="13" customFormat="1" x14ac:dyDescent="0.35"/>
    <row r="1189" s="13" customFormat="1" x14ac:dyDescent="0.35"/>
    <row r="1190" s="13" customFormat="1" x14ac:dyDescent="0.35"/>
    <row r="1191" s="13" customFormat="1" x14ac:dyDescent="0.35"/>
    <row r="1192" s="13" customFormat="1" x14ac:dyDescent="0.35"/>
    <row r="1193" s="13" customFormat="1" x14ac:dyDescent="0.35"/>
    <row r="1194" s="13" customFormat="1" x14ac:dyDescent="0.35"/>
    <row r="1195" s="13" customFormat="1" x14ac:dyDescent="0.35"/>
    <row r="1196" s="13" customFormat="1" x14ac:dyDescent="0.35"/>
    <row r="1197" s="13" customFormat="1" x14ac:dyDescent="0.35"/>
    <row r="1198" s="13" customFormat="1" x14ac:dyDescent="0.35"/>
    <row r="1199" s="13" customFormat="1" x14ac:dyDescent="0.35"/>
    <row r="1200" s="13" customFormat="1" x14ac:dyDescent="0.35"/>
    <row r="1201" s="13" customFormat="1" x14ac:dyDescent="0.35"/>
    <row r="1202" s="13" customFormat="1" x14ac:dyDescent="0.35"/>
    <row r="1203" s="13" customFormat="1" x14ac:dyDescent="0.35"/>
    <row r="1204" s="13" customFormat="1" x14ac:dyDescent="0.35"/>
    <row r="1205" s="13" customFormat="1" x14ac:dyDescent="0.35"/>
    <row r="1206" s="13" customFormat="1" x14ac:dyDescent="0.35"/>
    <row r="1207" s="13" customFormat="1" x14ac:dyDescent="0.35"/>
    <row r="1208" s="13" customFormat="1" x14ac:dyDescent="0.35"/>
    <row r="1209" s="13" customFormat="1" x14ac:dyDescent="0.35"/>
    <row r="1210" s="13" customFormat="1" x14ac:dyDescent="0.35"/>
    <row r="1211" s="13" customFormat="1" x14ac:dyDescent="0.35"/>
    <row r="1212" s="13" customFormat="1" x14ac:dyDescent="0.35"/>
    <row r="1213" s="13" customFormat="1" x14ac:dyDescent="0.35"/>
    <row r="1214" s="13" customFormat="1" x14ac:dyDescent="0.35"/>
    <row r="1215" s="13" customFormat="1" x14ac:dyDescent="0.35"/>
    <row r="1216" s="13" customFormat="1" x14ac:dyDescent="0.35"/>
    <row r="1217" s="13" customFormat="1" x14ac:dyDescent="0.35"/>
    <row r="1218" s="13" customFormat="1" x14ac:dyDescent="0.35"/>
    <row r="1219" s="13" customFormat="1" x14ac:dyDescent="0.35"/>
    <row r="1220" s="13" customFormat="1" x14ac:dyDescent="0.35"/>
    <row r="1221" s="13" customFormat="1" x14ac:dyDescent="0.35"/>
    <row r="1222" s="13" customFormat="1" x14ac:dyDescent="0.35"/>
    <row r="1223" s="13" customFormat="1" x14ac:dyDescent="0.35"/>
    <row r="1224" s="13" customFormat="1" x14ac:dyDescent="0.35"/>
    <row r="1225" s="13" customFormat="1" x14ac:dyDescent="0.35"/>
    <row r="1226" s="13" customFormat="1" x14ac:dyDescent="0.35"/>
    <row r="1227" s="13" customFormat="1" x14ac:dyDescent="0.35"/>
    <row r="1228" s="13" customFormat="1" x14ac:dyDescent="0.35"/>
    <row r="1229" s="13" customFormat="1" x14ac:dyDescent="0.35"/>
    <row r="1230" s="13" customFormat="1" x14ac:dyDescent="0.35"/>
    <row r="1231" s="13" customFormat="1" x14ac:dyDescent="0.35"/>
    <row r="1232" s="13" customFormat="1" x14ac:dyDescent="0.35"/>
    <row r="1233" s="13" customFormat="1" x14ac:dyDescent="0.35"/>
    <row r="1234" s="13" customFormat="1" x14ac:dyDescent="0.35"/>
    <row r="1235" s="13" customFormat="1" x14ac:dyDescent="0.35"/>
    <row r="1236" s="13" customFormat="1" x14ac:dyDescent="0.35"/>
    <row r="1237" s="13" customFormat="1" x14ac:dyDescent="0.35"/>
    <row r="1238" s="13" customFormat="1" x14ac:dyDescent="0.35"/>
    <row r="1239" s="13" customFormat="1" x14ac:dyDescent="0.35"/>
    <row r="1240" s="13" customFormat="1" x14ac:dyDescent="0.35"/>
    <row r="1241" s="13" customFormat="1" x14ac:dyDescent="0.35"/>
    <row r="1242" s="13" customFormat="1" x14ac:dyDescent="0.35"/>
    <row r="1243" s="13" customFormat="1" x14ac:dyDescent="0.35"/>
    <row r="1244" s="13" customFormat="1" x14ac:dyDescent="0.35"/>
    <row r="1245" s="13" customFormat="1" x14ac:dyDescent="0.35"/>
    <row r="1246" s="13" customFormat="1" x14ac:dyDescent="0.35"/>
    <row r="1247" s="13" customFormat="1" x14ac:dyDescent="0.35"/>
    <row r="1248" s="13" customFormat="1" x14ac:dyDescent="0.35"/>
    <row r="1249" s="13" customFormat="1" x14ac:dyDescent="0.35"/>
    <row r="1250" s="13" customFormat="1" x14ac:dyDescent="0.35"/>
    <row r="1251" s="13" customFormat="1" x14ac:dyDescent="0.35"/>
    <row r="1252" s="13" customFormat="1" x14ac:dyDescent="0.35"/>
    <row r="1253" s="13" customFormat="1" x14ac:dyDescent="0.35"/>
    <row r="1254" s="13" customFormat="1" x14ac:dyDescent="0.35"/>
    <row r="1255" s="13" customFormat="1" x14ac:dyDescent="0.35"/>
    <row r="1256" s="13" customFormat="1" x14ac:dyDescent="0.35"/>
    <row r="1257" s="13" customFormat="1" x14ac:dyDescent="0.35"/>
    <row r="1258" s="13" customFormat="1" x14ac:dyDescent="0.35"/>
    <row r="1259" s="13" customFormat="1" x14ac:dyDescent="0.35"/>
    <row r="1260" s="13" customFormat="1" x14ac:dyDescent="0.35"/>
    <row r="1261" s="13" customFormat="1" x14ac:dyDescent="0.35"/>
    <row r="1262" s="13" customFormat="1" x14ac:dyDescent="0.35"/>
    <row r="1263" s="13" customFormat="1" x14ac:dyDescent="0.35"/>
    <row r="1264" s="13" customFormat="1" x14ac:dyDescent="0.35"/>
    <row r="1265" s="13" customFormat="1" x14ac:dyDescent="0.35"/>
    <row r="1266" s="13" customFormat="1" x14ac:dyDescent="0.35"/>
    <row r="1267" s="13" customFormat="1" x14ac:dyDescent="0.35"/>
    <row r="1268" s="13" customFormat="1" x14ac:dyDescent="0.35"/>
    <row r="1269" s="13" customFormat="1" x14ac:dyDescent="0.35"/>
    <row r="1270" s="13" customFormat="1" x14ac:dyDescent="0.35"/>
    <row r="1271" s="13" customFormat="1" x14ac:dyDescent="0.35"/>
    <row r="1272" s="13" customFormat="1" x14ac:dyDescent="0.35"/>
    <row r="1273" s="13" customFormat="1" x14ac:dyDescent="0.35"/>
    <row r="1274" s="13" customFormat="1" x14ac:dyDescent="0.35"/>
    <row r="1275" s="13" customFormat="1" x14ac:dyDescent="0.35"/>
    <row r="1276" s="13" customFormat="1" x14ac:dyDescent="0.35"/>
    <row r="1277" s="13" customFormat="1" x14ac:dyDescent="0.35"/>
    <row r="1278" s="13" customFormat="1" x14ac:dyDescent="0.35"/>
    <row r="1279" s="13" customFormat="1" x14ac:dyDescent="0.35"/>
    <row r="1280" s="13" customFormat="1" x14ac:dyDescent="0.35"/>
    <row r="1281" s="13" customFormat="1" x14ac:dyDescent="0.35"/>
    <row r="1282" s="13" customFormat="1" x14ac:dyDescent="0.35"/>
    <row r="1283" s="13" customFormat="1" x14ac:dyDescent="0.35"/>
    <row r="1284" s="13" customFormat="1" x14ac:dyDescent="0.35"/>
    <row r="1285" s="13" customFormat="1" x14ac:dyDescent="0.35"/>
    <row r="1286" s="13" customFormat="1" x14ac:dyDescent="0.35"/>
    <row r="1287" s="13" customFormat="1" x14ac:dyDescent="0.35"/>
    <row r="1288" s="13" customFormat="1" x14ac:dyDescent="0.35"/>
    <row r="1289" s="13" customFormat="1" x14ac:dyDescent="0.35"/>
    <row r="1290" s="13" customFormat="1" x14ac:dyDescent="0.35"/>
    <row r="1291" s="13" customFormat="1" x14ac:dyDescent="0.35"/>
    <row r="1292" s="13" customFormat="1" x14ac:dyDescent="0.35"/>
    <row r="1293" s="13" customFormat="1" x14ac:dyDescent="0.35"/>
    <row r="1294" s="13" customFormat="1" x14ac:dyDescent="0.35"/>
    <row r="1295" s="13" customFormat="1" x14ac:dyDescent="0.35"/>
    <row r="1296" s="13" customFormat="1" x14ac:dyDescent="0.35"/>
    <row r="1297" s="13" customFormat="1" x14ac:dyDescent="0.35"/>
    <row r="1298" s="13" customFormat="1" x14ac:dyDescent="0.35"/>
    <row r="1299" s="13" customFormat="1" x14ac:dyDescent="0.35"/>
    <row r="1300" s="13" customFormat="1" x14ac:dyDescent="0.35"/>
    <row r="1301" s="13" customFormat="1" x14ac:dyDescent="0.35"/>
    <row r="1302" s="13" customFormat="1" x14ac:dyDescent="0.35"/>
    <row r="1303" s="13" customFormat="1" x14ac:dyDescent="0.35"/>
    <row r="1304" s="13" customFormat="1" x14ac:dyDescent="0.35"/>
    <row r="1305" s="13" customFormat="1" x14ac:dyDescent="0.35"/>
    <row r="1306" s="13" customFormat="1" x14ac:dyDescent="0.35"/>
    <row r="1307" s="13" customFormat="1" x14ac:dyDescent="0.35"/>
    <row r="1308" s="13" customFormat="1" x14ac:dyDescent="0.35"/>
    <row r="1309" s="13" customFormat="1" x14ac:dyDescent="0.35"/>
    <row r="1310" s="13" customFormat="1" x14ac:dyDescent="0.35"/>
    <row r="1311" s="13" customFormat="1" x14ac:dyDescent="0.35"/>
    <row r="1312" s="13" customFormat="1" x14ac:dyDescent="0.35"/>
    <row r="1313" s="13" customFormat="1" x14ac:dyDescent="0.35"/>
    <row r="1314" s="13" customFormat="1" x14ac:dyDescent="0.35"/>
    <row r="1315" s="13" customFormat="1" x14ac:dyDescent="0.35"/>
    <row r="1316" s="13" customFormat="1" x14ac:dyDescent="0.35"/>
    <row r="1317" s="13" customFormat="1" x14ac:dyDescent="0.35"/>
    <row r="1318" s="13" customFormat="1" x14ac:dyDescent="0.35"/>
    <row r="1319" s="13" customFormat="1" x14ac:dyDescent="0.35"/>
    <row r="1320" s="13" customFormat="1" x14ac:dyDescent="0.35"/>
    <row r="1321" s="13" customFormat="1" x14ac:dyDescent="0.35"/>
    <row r="1322" s="13" customFormat="1" x14ac:dyDescent="0.35"/>
    <row r="1323" s="13" customFormat="1" x14ac:dyDescent="0.35"/>
    <row r="1324" s="13" customFormat="1" x14ac:dyDescent="0.35"/>
    <row r="1325" s="13" customFormat="1" x14ac:dyDescent="0.35"/>
    <row r="1326" s="13" customFormat="1" x14ac:dyDescent="0.35"/>
    <row r="1327" s="13" customFormat="1" x14ac:dyDescent="0.35"/>
    <row r="1328" s="13" customFormat="1" x14ac:dyDescent="0.35"/>
    <row r="1329" s="13" customFormat="1" x14ac:dyDescent="0.35"/>
    <row r="1330" s="13" customFormat="1" x14ac:dyDescent="0.35"/>
    <row r="1331" s="13" customFormat="1" x14ac:dyDescent="0.35"/>
    <row r="1332" s="13" customFormat="1" x14ac:dyDescent="0.35"/>
    <row r="1333" s="13" customFormat="1" x14ac:dyDescent="0.35"/>
    <row r="1334" s="13" customFormat="1" x14ac:dyDescent="0.35"/>
    <row r="1335" s="13" customFormat="1" x14ac:dyDescent="0.35"/>
    <row r="1336" s="13" customFormat="1" x14ac:dyDescent="0.35"/>
    <row r="1337" s="13" customFormat="1" x14ac:dyDescent="0.35"/>
    <row r="1338" s="13" customFormat="1" x14ac:dyDescent="0.35"/>
    <row r="1339" s="13" customFormat="1" x14ac:dyDescent="0.35"/>
    <row r="1340" s="13" customFormat="1" x14ac:dyDescent="0.35"/>
    <row r="1341" s="13" customFormat="1" x14ac:dyDescent="0.35"/>
    <row r="1342" s="13" customFormat="1" x14ac:dyDescent="0.35"/>
    <row r="1343" s="13" customFormat="1" x14ac:dyDescent="0.35"/>
    <row r="1344" s="13" customFormat="1" x14ac:dyDescent="0.35"/>
    <row r="1345" s="13" customFormat="1" x14ac:dyDescent="0.35"/>
    <row r="1346" s="13" customFormat="1" x14ac:dyDescent="0.35"/>
    <row r="1347" s="13" customFormat="1" x14ac:dyDescent="0.35"/>
    <row r="1348" s="13" customFormat="1" x14ac:dyDescent="0.35"/>
    <row r="1349" s="13" customFormat="1" x14ac:dyDescent="0.35"/>
    <row r="1350" s="13" customFormat="1" x14ac:dyDescent="0.35"/>
    <row r="1351" s="13" customFormat="1" x14ac:dyDescent="0.35"/>
    <row r="1352" s="13" customFormat="1" x14ac:dyDescent="0.35"/>
    <row r="1353" s="13" customFormat="1" x14ac:dyDescent="0.35"/>
    <row r="1354" s="13" customFormat="1" x14ac:dyDescent="0.35"/>
    <row r="1355" s="13" customFormat="1" x14ac:dyDescent="0.35"/>
    <row r="1356" s="13" customFormat="1" x14ac:dyDescent="0.35"/>
    <row r="1357" s="13" customFormat="1" x14ac:dyDescent="0.35"/>
    <row r="1358" s="13" customFormat="1" x14ac:dyDescent="0.35"/>
    <row r="1359" s="13" customFormat="1" x14ac:dyDescent="0.35"/>
    <row r="1360" s="13" customFormat="1" x14ac:dyDescent="0.35"/>
    <row r="1361" s="13" customFormat="1" x14ac:dyDescent="0.35"/>
    <row r="1362" s="13" customFormat="1" x14ac:dyDescent="0.35"/>
    <row r="1363" s="13" customFormat="1" x14ac:dyDescent="0.35"/>
    <row r="1364" s="13" customFormat="1" x14ac:dyDescent="0.35"/>
    <row r="1365" s="13" customFormat="1" x14ac:dyDescent="0.35"/>
    <row r="1366" s="13" customFormat="1" x14ac:dyDescent="0.35"/>
    <row r="1367" s="13" customFormat="1" x14ac:dyDescent="0.35"/>
    <row r="1368" s="13" customFormat="1" x14ac:dyDescent="0.35"/>
    <row r="1369" s="13" customFormat="1" x14ac:dyDescent="0.35"/>
    <row r="1370" s="13" customFormat="1" x14ac:dyDescent="0.35"/>
    <row r="1371" s="13" customFormat="1" x14ac:dyDescent="0.35"/>
    <row r="1372" s="13" customFormat="1" x14ac:dyDescent="0.35"/>
    <row r="1373" s="13" customFormat="1" x14ac:dyDescent="0.35"/>
    <row r="1374" s="13" customFormat="1" x14ac:dyDescent="0.35"/>
    <row r="1375" s="13" customFormat="1" x14ac:dyDescent="0.35"/>
    <row r="1376" s="13" customFormat="1" x14ac:dyDescent="0.35"/>
    <row r="1377" s="13" customFormat="1" x14ac:dyDescent="0.35"/>
    <row r="1378" s="13" customFormat="1" x14ac:dyDescent="0.35"/>
    <row r="1379" s="13" customFormat="1" x14ac:dyDescent="0.35"/>
    <row r="1380" s="13" customFormat="1" x14ac:dyDescent="0.35"/>
    <row r="1381" s="13" customFormat="1" x14ac:dyDescent="0.35"/>
    <row r="1382" s="13" customFormat="1" x14ac:dyDescent="0.35"/>
    <row r="1383" s="13" customFormat="1" x14ac:dyDescent="0.35"/>
    <row r="1384" s="13" customFormat="1" x14ac:dyDescent="0.35"/>
    <row r="1385" s="13" customFormat="1" x14ac:dyDescent="0.35"/>
    <row r="1386" s="13" customFormat="1" x14ac:dyDescent="0.35"/>
    <row r="1387" s="13" customFormat="1" x14ac:dyDescent="0.35"/>
    <row r="1388" s="13" customFormat="1" x14ac:dyDescent="0.35"/>
    <row r="1389" s="13" customFormat="1" x14ac:dyDescent="0.35"/>
    <row r="1390" s="13" customFormat="1" x14ac:dyDescent="0.35"/>
    <row r="1391" s="13" customFormat="1" x14ac:dyDescent="0.35"/>
    <row r="1392" s="13" customFormat="1" x14ac:dyDescent="0.35"/>
    <row r="1393" s="13" customFormat="1" x14ac:dyDescent="0.35"/>
    <row r="1394" s="13" customFormat="1" x14ac:dyDescent="0.35"/>
    <row r="1395" s="13" customFormat="1" x14ac:dyDescent="0.35"/>
    <row r="1396" s="13" customFormat="1" x14ac:dyDescent="0.35"/>
    <row r="1397" s="13" customFormat="1" x14ac:dyDescent="0.35"/>
    <row r="1398" s="13" customFormat="1" x14ac:dyDescent="0.35"/>
    <row r="1399" s="13" customFormat="1" x14ac:dyDescent="0.35"/>
    <row r="1400" s="13" customFormat="1" x14ac:dyDescent="0.35"/>
    <row r="1401" s="13" customFormat="1" x14ac:dyDescent="0.35"/>
    <row r="1402" s="13" customFormat="1" x14ac:dyDescent="0.35"/>
    <row r="1403" s="13" customFormat="1" x14ac:dyDescent="0.35"/>
    <row r="1404" s="13" customFormat="1" x14ac:dyDescent="0.35"/>
    <row r="1405" s="13" customFormat="1" x14ac:dyDescent="0.35"/>
    <row r="1406" s="13" customFormat="1" x14ac:dyDescent="0.35"/>
    <row r="1407" s="13" customFormat="1" x14ac:dyDescent="0.35"/>
    <row r="1408" s="13" customFormat="1" x14ac:dyDescent="0.35"/>
    <row r="1409" s="13" customFormat="1" x14ac:dyDescent="0.35"/>
    <row r="1410" s="13" customFormat="1" x14ac:dyDescent="0.35"/>
    <row r="1411" s="13" customFormat="1" x14ac:dyDescent="0.35"/>
    <row r="1412" s="13" customFormat="1" x14ac:dyDescent="0.35"/>
    <row r="1413" s="13" customFormat="1" x14ac:dyDescent="0.35"/>
    <row r="1414" s="13" customFormat="1" x14ac:dyDescent="0.35"/>
    <row r="1415" s="13" customFormat="1" x14ac:dyDescent="0.35"/>
    <row r="1416" s="13" customFormat="1" x14ac:dyDescent="0.35"/>
    <row r="1417" s="13" customFormat="1" x14ac:dyDescent="0.35"/>
    <row r="1418" s="13" customFormat="1" x14ac:dyDescent="0.35"/>
    <row r="1419" s="13" customFormat="1" x14ac:dyDescent="0.35"/>
    <row r="1420" s="13" customFormat="1" x14ac:dyDescent="0.35"/>
    <row r="1421" s="13" customFormat="1" x14ac:dyDescent="0.35"/>
    <row r="1422" s="13" customFormat="1" x14ac:dyDescent="0.35"/>
    <row r="1423" s="13" customFormat="1" x14ac:dyDescent="0.35"/>
    <row r="1424" s="13" customFormat="1" x14ac:dyDescent="0.35"/>
    <row r="1425" s="13" customFormat="1" x14ac:dyDescent="0.35"/>
    <row r="1426" s="13" customFormat="1" x14ac:dyDescent="0.35"/>
    <row r="1427" s="13" customFormat="1" x14ac:dyDescent="0.35"/>
    <row r="1428" s="13" customFormat="1" x14ac:dyDescent="0.35"/>
    <row r="1429" s="13" customFormat="1" x14ac:dyDescent="0.35"/>
    <row r="1430" s="13" customFormat="1" x14ac:dyDescent="0.35"/>
    <row r="1431" s="13" customFormat="1" x14ac:dyDescent="0.35"/>
    <row r="1432" s="13" customFormat="1" x14ac:dyDescent="0.35"/>
    <row r="1433" s="13" customFormat="1" x14ac:dyDescent="0.35"/>
    <row r="1434" s="13" customFormat="1" x14ac:dyDescent="0.35"/>
    <row r="1435" s="13" customFormat="1" x14ac:dyDescent="0.35"/>
    <row r="1436" s="13" customFormat="1" x14ac:dyDescent="0.35"/>
    <row r="1437" s="13" customFormat="1" x14ac:dyDescent="0.35"/>
    <row r="1438" s="13" customFormat="1" x14ac:dyDescent="0.35"/>
    <row r="1439" s="13" customFormat="1" x14ac:dyDescent="0.35"/>
    <row r="1440" s="13" customFormat="1" x14ac:dyDescent="0.35"/>
    <row r="1441" s="13" customFormat="1" x14ac:dyDescent="0.35"/>
    <row r="1442" s="13" customFormat="1" x14ac:dyDescent="0.35"/>
    <row r="1443" s="13" customFormat="1" x14ac:dyDescent="0.35"/>
    <row r="1444" s="13" customFormat="1" x14ac:dyDescent="0.35"/>
    <row r="1445" s="13" customFormat="1" x14ac:dyDescent="0.35"/>
    <row r="1446" s="13" customFormat="1" x14ac:dyDescent="0.35"/>
    <row r="1447" s="13" customFormat="1" x14ac:dyDescent="0.35"/>
    <row r="1448" s="13" customFormat="1" x14ac:dyDescent="0.35"/>
    <row r="1449" s="13" customFormat="1" x14ac:dyDescent="0.35"/>
    <row r="1450" s="13" customFormat="1" x14ac:dyDescent="0.35"/>
    <row r="1451" s="13" customFormat="1" x14ac:dyDescent="0.35"/>
    <row r="1452" s="13" customFormat="1" x14ac:dyDescent="0.35"/>
    <row r="1453" s="13" customFormat="1" x14ac:dyDescent="0.35"/>
    <row r="1454" s="13" customFormat="1" x14ac:dyDescent="0.35"/>
    <row r="1455" s="13" customFormat="1" x14ac:dyDescent="0.35"/>
    <row r="1456" s="13" customFormat="1" x14ac:dyDescent="0.35"/>
    <row r="1457" s="13" customFormat="1" x14ac:dyDescent="0.35"/>
    <row r="1458" s="13" customFormat="1" x14ac:dyDescent="0.35"/>
    <row r="1459" s="13" customFormat="1" x14ac:dyDescent="0.35"/>
    <row r="1460" s="13" customFormat="1" x14ac:dyDescent="0.35"/>
    <row r="1461" s="13" customFormat="1" x14ac:dyDescent="0.35"/>
    <row r="1462" s="13" customFormat="1" x14ac:dyDescent="0.35"/>
    <row r="1463" s="13" customFormat="1" x14ac:dyDescent="0.35"/>
    <row r="1464" s="13" customFormat="1" x14ac:dyDescent="0.35"/>
    <row r="1465" s="13" customFormat="1" x14ac:dyDescent="0.35"/>
    <row r="1466" s="13" customFormat="1" x14ac:dyDescent="0.35"/>
    <row r="1467" s="13" customFormat="1" x14ac:dyDescent="0.35"/>
    <row r="1468" s="13" customFormat="1" x14ac:dyDescent="0.35"/>
    <row r="1469" s="13" customFormat="1" x14ac:dyDescent="0.35"/>
    <row r="1470" s="13" customFormat="1" x14ac:dyDescent="0.35"/>
    <row r="1471" s="13" customFormat="1" x14ac:dyDescent="0.35"/>
    <row r="1472" s="13" customFormat="1" x14ac:dyDescent="0.35"/>
    <row r="1473" s="13" customFormat="1" x14ac:dyDescent="0.35"/>
    <row r="1474" s="13" customFormat="1" x14ac:dyDescent="0.35"/>
    <row r="1475" s="13" customFormat="1" x14ac:dyDescent="0.35"/>
    <row r="1476" s="13" customFormat="1" x14ac:dyDescent="0.35"/>
    <row r="1477" s="13" customFormat="1" x14ac:dyDescent="0.35"/>
    <row r="1478" s="13" customFormat="1" x14ac:dyDescent="0.35"/>
    <row r="1479" s="13" customFormat="1" x14ac:dyDescent="0.35"/>
    <row r="1480" s="13" customFormat="1" x14ac:dyDescent="0.35"/>
    <row r="1481" s="13" customFormat="1" x14ac:dyDescent="0.35"/>
    <row r="1482" s="13" customFormat="1" x14ac:dyDescent="0.35"/>
    <row r="1483" s="13" customFormat="1" x14ac:dyDescent="0.35"/>
    <row r="1484" s="13" customFormat="1" x14ac:dyDescent="0.35"/>
    <row r="1485" s="13" customFormat="1" x14ac:dyDescent="0.35"/>
    <row r="1486" s="13" customFormat="1" x14ac:dyDescent="0.35"/>
    <row r="1487" s="13" customFormat="1" x14ac:dyDescent="0.35"/>
    <row r="1488" s="13" customFormat="1" x14ac:dyDescent="0.35"/>
    <row r="1489" s="13" customFormat="1" x14ac:dyDescent="0.35"/>
    <row r="1490" s="13" customFormat="1" x14ac:dyDescent="0.35"/>
    <row r="1491" s="13" customFormat="1" x14ac:dyDescent="0.35"/>
    <row r="1492" s="13" customFormat="1" x14ac:dyDescent="0.35"/>
    <row r="1493" s="13" customFormat="1" x14ac:dyDescent="0.35"/>
    <row r="1494" s="13" customFormat="1" x14ac:dyDescent="0.35"/>
    <row r="1495" s="13" customFormat="1" x14ac:dyDescent="0.35"/>
    <row r="1496" s="13" customFormat="1" x14ac:dyDescent="0.35"/>
    <row r="1497" s="13" customFormat="1" x14ac:dyDescent="0.35"/>
    <row r="1498" s="13" customFormat="1" x14ac:dyDescent="0.35"/>
    <row r="1499" s="13" customFormat="1" x14ac:dyDescent="0.35"/>
    <row r="1500" s="13" customFormat="1" x14ac:dyDescent="0.35"/>
    <row r="1501" s="13" customFormat="1" x14ac:dyDescent="0.35"/>
    <row r="1502" s="13" customFormat="1" x14ac:dyDescent="0.35"/>
    <row r="1503" s="13" customFormat="1" x14ac:dyDescent="0.35"/>
    <row r="1504" s="13" customFormat="1" x14ac:dyDescent="0.35"/>
    <row r="1505" s="13" customFormat="1" x14ac:dyDescent="0.35"/>
    <row r="1506" s="13" customFormat="1" x14ac:dyDescent="0.35"/>
    <row r="1507" s="13" customFormat="1" x14ac:dyDescent="0.35"/>
    <row r="1508" s="13" customFormat="1" x14ac:dyDescent="0.35"/>
    <row r="1509" s="13" customFormat="1" x14ac:dyDescent="0.35"/>
    <row r="1510" s="13" customFormat="1" x14ac:dyDescent="0.35"/>
    <row r="1511" s="13" customFormat="1" x14ac:dyDescent="0.35"/>
    <row r="1512" s="13" customFormat="1" x14ac:dyDescent="0.35"/>
    <row r="1513" s="13" customFormat="1" x14ac:dyDescent="0.35"/>
    <row r="1514" s="13" customFormat="1" x14ac:dyDescent="0.35"/>
    <row r="1515" s="13" customFormat="1" x14ac:dyDescent="0.35"/>
    <row r="1516" s="13" customFormat="1" x14ac:dyDescent="0.35"/>
    <row r="1517" s="13" customFormat="1" x14ac:dyDescent="0.35"/>
    <row r="1518" s="13" customFormat="1" x14ac:dyDescent="0.35"/>
    <row r="1519" s="13" customFormat="1" x14ac:dyDescent="0.35"/>
    <row r="1520" s="13" customFormat="1" x14ac:dyDescent="0.35"/>
    <row r="1521" s="13" customFormat="1" x14ac:dyDescent="0.35"/>
    <row r="1522" s="13" customFormat="1" x14ac:dyDescent="0.35"/>
    <row r="1523" s="13" customFormat="1" x14ac:dyDescent="0.35"/>
    <row r="1524" s="13" customFormat="1" x14ac:dyDescent="0.35"/>
    <row r="1525" s="13" customFormat="1" x14ac:dyDescent="0.35"/>
    <row r="1526" s="13" customFormat="1" x14ac:dyDescent="0.35"/>
    <row r="1527" s="13" customFormat="1" x14ac:dyDescent="0.35"/>
    <row r="1528" s="13" customFormat="1" x14ac:dyDescent="0.35"/>
    <row r="1529" s="13" customFormat="1" x14ac:dyDescent="0.35"/>
    <row r="1530" s="13" customFormat="1" x14ac:dyDescent="0.35"/>
    <row r="1531" s="13" customFormat="1" x14ac:dyDescent="0.35"/>
    <row r="1532" s="13" customFormat="1" x14ac:dyDescent="0.35"/>
    <row r="1533" s="13" customFormat="1" x14ac:dyDescent="0.35"/>
    <row r="1534" s="13" customFormat="1" x14ac:dyDescent="0.35"/>
    <row r="1535" s="13" customFormat="1" x14ac:dyDescent="0.35"/>
    <row r="1536" s="13" customFormat="1" x14ac:dyDescent="0.35"/>
    <row r="1537" s="13" customFormat="1" x14ac:dyDescent="0.35"/>
    <row r="1538" s="13" customFormat="1" x14ac:dyDescent="0.35"/>
    <row r="1539" s="13" customFormat="1" x14ac:dyDescent="0.35"/>
    <row r="1540" s="13" customFormat="1" x14ac:dyDescent="0.35"/>
    <row r="1541" s="13" customFormat="1" x14ac:dyDescent="0.35"/>
    <row r="1542" s="13" customFormat="1" x14ac:dyDescent="0.35"/>
    <row r="1543" s="13" customFormat="1" x14ac:dyDescent="0.35"/>
    <row r="1544" s="13" customFormat="1" x14ac:dyDescent="0.35"/>
    <row r="1545" s="13" customFormat="1" x14ac:dyDescent="0.35"/>
    <row r="1546" s="13" customFormat="1" x14ac:dyDescent="0.35"/>
    <row r="1547" s="13" customFormat="1" x14ac:dyDescent="0.35"/>
    <row r="1548" s="13" customFormat="1" x14ac:dyDescent="0.35"/>
    <row r="1549" s="13" customFormat="1" x14ac:dyDescent="0.35"/>
    <row r="1550" s="13" customFormat="1" x14ac:dyDescent="0.35"/>
    <row r="1551" s="13" customFormat="1" x14ac:dyDescent="0.35"/>
    <row r="1552" s="13" customFormat="1" x14ac:dyDescent="0.35"/>
    <row r="1553" s="13" customFormat="1" x14ac:dyDescent="0.35"/>
    <row r="1554" s="13" customFormat="1" x14ac:dyDescent="0.35"/>
    <row r="1555" s="13" customFormat="1" x14ac:dyDescent="0.35"/>
    <row r="1556" s="13" customFormat="1" x14ac:dyDescent="0.35"/>
    <row r="1557" s="13" customFormat="1" x14ac:dyDescent="0.35"/>
    <row r="1558" s="13" customFormat="1" x14ac:dyDescent="0.35"/>
    <row r="1559" s="13" customFormat="1" x14ac:dyDescent="0.35"/>
    <row r="1560" s="13" customFormat="1" x14ac:dyDescent="0.35"/>
    <row r="1561" s="13" customFormat="1" x14ac:dyDescent="0.35"/>
    <row r="1562" s="13" customFormat="1" x14ac:dyDescent="0.35"/>
    <row r="1563" s="13" customFormat="1" x14ac:dyDescent="0.35"/>
    <row r="1564" s="13" customFormat="1" x14ac:dyDescent="0.35"/>
    <row r="1565" s="13" customFormat="1" x14ac:dyDescent="0.35"/>
    <row r="1566" s="13" customFormat="1" x14ac:dyDescent="0.35"/>
    <row r="1567" s="13" customFormat="1" x14ac:dyDescent="0.35"/>
    <row r="1568" s="13" customFormat="1" x14ac:dyDescent="0.35"/>
    <row r="1569" s="13" customFormat="1" x14ac:dyDescent="0.35"/>
    <row r="1570" s="13" customFormat="1" x14ac:dyDescent="0.35"/>
    <row r="1571" s="13" customFormat="1" x14ac:dyDescent="0.35"/>
    <row r="1572" s="13" customFormat="1" x14ac:dyDescent="0.35"/>
    <row r="1573" s="13" customFormat="1" x14ac:dyDescent="0.35"/>
    <row r="1574" s="13" customFormat="1" x14ac:dyDescent="0.35"/>
    <row r="1575" s="13" customFormat="1" x14ac:dyDescent="0.35"/>
    <row r="1576" s="13" customFormat="1" x14ac:dyDescent="0.35"/>
    <row r="1577" s="13" customFormat="1" x14ac:dyDescent="0.35"/>
    <row r="1578" s="13" customFormat="1" x14ac:dyDescent="0.35"/>
    <row r="1579" s="13" customFormat="1" x14ac:dyDescent="0.35"/>
    <row r="1580" s="13" customFormat="1" x14ac:dyDescent="0.35"/>
    <row r="1581" s="13" customFormat="1" x14ac:dyDescent="0.35"/>
    <row r="1582" s="13" customFormat="1" x14ac:dyDescent="0.35"/>
    <row r="1583" s="13" customFormat="1" x14ac:dyDescent="0.35"/>
    <row r="1584" s="13" customFormat="1" x14ac:dyDescent="0.35"/>
    <row r="1585" s="13" customFormat="1" x14ac:dyDescent="0.35"/>
    <row r="1586" s="13" customFormat="1" x14ac:dyDescent="0.35"/>
    <row r="1587" s="13" customFormat="1" x14ac:dyDescent="0.35"/>
    <row r="1588" s="13" customFormat="1" x14ac:dyDescent="0.35"/>
    <row r="1589" s="13" customFormat="1" x14ac:dyDescent="0.35"/>
    <row r="1590" s="13" customFormat="1" x14ac:dyDescent="0.35"/>
    <row r="1591" s="13" customFormat="1" x14ac:dyDescent="0.35"/>
    <row r="1592" s="13" customFormat="1" x14ac:dyDescent="0.35"/>
    <row r="1593" s="13" customFormat="1" x14ac:dyDescent="0.35"/>
    <row r="1594" s="13" customFormat="1" x14ac:dyDescent="0.35"/>
    <row r="1595" s="13" customFormat="1" x14ac:dyDescent="0.35"/>
    <row r="1596" s="13" customFormat="1" x14ac:dyDescent="0.35"/>
    <row r="1597" s="13" customFormat="1" x14ac:dyDescent="0.35"/>
    <row r="1598" s="13" customFormat="1" x14ac:dyDescent="0.35"/>
    <row r="1599" s="13" customFormat="1" x14ac:dyDescent="0.35"/>
    <row r="1600" s="13" customFormat="1" x14ac:dyDescent="0.35"/>
    <row r="1601" s="13" customFormat="1" x14ac:dyDescent="0.35"/>
    <row r="1602" s="13" customFormat="1" x14ac:dyDescent="0.35"/>
    <row r="1603" s="13" customFormat="1" x14ac:dyDescent="0.35"/>
    <row r="1604" s="13" customFormat="1" x14ac:dyDescent="0.35"/>
    <row r="1605" s="13" customFormat="1" x14ac:dyDescent="0.35"/>
    <row r="1606" s="13" customFormat="1" x14ac:dyDescent="0.35"/>
    <row r="1607" s="13" customFormat="1" x14ac:dyDescent="0.35"/>
    <row r="1608" s="13" customFormat="1" x14ac:dyDescent="0.35"/>
    <row r="1609" s="13" customFormat="1" x14ac:dyDescent="0.35"/>
    <row r="1610" s="13" customFormat="1" x14ac:dyDescent="0.35"/>
    <row r="1611" s="13" customFormat="1" x14ac:dyDescent="0.35"/>
    <row r="1612" s="13" customFormat="1" x14ac:dyDescent="0.35"/>
    <row r="1613" s="13" customFormat="1" x14ac:dyDescent="0.35"/>
    <row r="1614" s="13" customFormat="1" x14ac:dyDescent="0.35"/>
    <row r="1615" s="13" customFormat="1" x14ac:dyDescent="0.35"/>
    <row r="1616" s="13" customFormat="1" x14ac:dyDescent="0.35"/>
    <row r="1617" s="13" customFormat="1" x14ac:dyDescent="0.35"/>
    <row r="1618" s="13" customFormat="1" x14ac:dyDescent="0.35"/>
    <row r="1619" s="13" customFormat="1" x14ac:dyDescent="0.35"/>
    <row r="1620" s="13" customFormat="1" x14ac:dyDescent="0.35"/>
    <row r="1621" s="13" customFormat="1" x14ac:dyDescent="0.35"/>
    <row r="1622" s="13" customFormat="1" x14ac:dyDescent="0.35"/>
    <row r="1623" s="13" customFormat="1" x14ac:dyDescent="0.35"/>
    <row r="1624" s="13" customFormat="1" x14ac:dyDescent="0.35"/>
    <row r="1625" s="13" customFormat="1" x14ac:dyDescent="0.35"/>
    <row r="1626" s="13" customFormat="1" x14ac:dyDescent="0.35"/>
    <row r="1627" s="13" customFormat="1" x14ac:dyDescent="0.35"/>
    <row r="1628" s="13" customFormat="1" x14ac:dyDescent="0.35"/>
    <row r="1629" s="13" customFormat="1" x14ac:dyDescent="0.35"/>
    <row r="1630" s="13" customFormat="1" x14ac:dyDescent="0.35"/>
    <row r="1631" s="13" customFormat="1" x14ac:dyDescent="0.35"/>
    <row r="1632" s="13" customFormat="1" x14ac:dyDescent="0.35"/>
    <row r="1633" s="13" customFormat="1" x14ac:dyDescent="0.35"/>
    <row r="1634" s="13" customFormat="1" x14ac:dyDescent="0.35"/>
    <row r="1635" s="13" customFormat="1" x14ac:dyDescent="0.35"/>
    <row r="1636" s="13" customFormat="1" x14ac:dyDescent="0.35"/>
    <row r="1637" s="13" customFormat="1" x14ac:dyDescent="0.35"/>
    <row r="1638" s="13" customFormat="1" x14ac:dyDescent="0.35"/>
    <row r="1639" s="13" customFormat="1" x14ac:dyDescent="0.35"/>
    <row r="1640" s="13" customFormat="1" x14ac:dyDescent="0.35"/>
    <row r="1641" s="13" customFormat="1" x14ac:dyDescent="0.35"/>
    <row r="1642" s="13" customFormat="1" x14ac:dyDescent="0.35"/>
    <row r="1643" s="13" customFormat="1" x14ac:dyDescent="0.35"/>
    <row r="1644" s="13" customFormat="1" x14ac:dyDescent="0.35"/>
    <row r="1645" s="13" customFormat="1" x14ac:dyDescent="0.35"/>
    <row r="1646" s="13" customFormat="1" x14ac:dyDescent="0.35"/>
    <row r="1647" s="13" customFormat="1" x14ac:dyDescent="0.35"/>
    <row r="1648" s="13" customFormat="1" x14ac:dyDescent="0.35"/>
    <row r="1649" s="13" customFormat="1" x14ac:dyDescent="0.35"/>
    <row r="1650" s="13" customFormat="1" x14ac:dyDescent="0.35"/>
    <row r="1651" s="13" customFormat="1" x14ac:dyDescent="0.35"/>
    <row r="1652" s="13" customFormat="1" x14ac:dyDescent="0.35"/>
    <row r="1653" s="13" customFormat="1" x14ac:dyDescent="0.35"/>
    <row r="1654" s="13" customFormat="1" x14ac:dyDescent="0.35"/>
    <row r="1655" s="13" customFormat="1" x14ac:dyDescent="0.35"/>
    <row r="1656" s="13" customFormat="1" x14ac:dyDescent="0.35"/>
    <row r="1657" s="13" customFormat="1" x14ac:dyDescent="0.35"/>
    <row r="1658" s="13" customFormat="1" x14ac:dyDescent="0.35"/>
    <row r="1659" s="13" customFormat="1" x14ac:dyDescent="0.35"/>
    <row r="1660" s="13" customFormat="1" x14ac:dyDescent="0.35"/>
    <row r="1661" s="13" customFormat="1" x14ac:dyDescent="0.35"/>
    <row r="1662" s="13" customFormat="1" x14ac:dyDescent="0.35"/>
    <row r="1663" s="13" customFormat="1" x14ac:dyDescent="0.35"/>
    <row r="1664" s="13" customFormat="1" x14ac:dyDescent="0.35"/>
    <row r="1665" s="13" customFormat="1" x14ac:dyDescent="0.35"/>
    <row r="1666" s="13" customFormat="1" x14ac:dyDescent="0.35"/>
    <row r="1667" s="13" customFormat="1" x14ac:dyDescent="0.35"/>
    <row r="1668" s="13" customFormat="1" x14ac:dyDescent="0.35"/>
    <row r="1669" s="13" customFormat="1" x14ac:dyDescent="0.35"/>
    <row r="1670" s="13" customFormat="1" x14ac:dyDescent="0.35"/>
    <row r="1671" s="13" customFormat="1" x14ac:dyDescent="0.35"/>
    <row r="1672" s="13" customFormat="1" x14ac:dyDescent="0.35"/>
    <row r="1673" s="13" customFormat="1" x14ac:dyDescent="0.35"/>
    <row r="1674" s="13" customFormat="1" x14ac:dyDescent="0.35"/>
    <row r="1675" s="13" customFormat="1" x14ac:dyDescent="0.35"/>
    <row r="1676" s="13" customFormat="1" x14ac:dyDescent="0.35"/>
    <row r="1677" s="13" customFormat="1" x14ac:dyDescent="0.35"/>
    <row r="1678" s="13" customFormat="1" x14ac:dyDescent="0.35"/>
    <row r="1679" s="13" customFormat="1" x14ac:dyDescent="0.35"/>
    <row r="1680" s="13" customFormat="1" x14ac:dyDescent="0.35"/>
    <row r="1681" s="13" customFormat="1" x14ac:dyDescent="0.35"/>
    <row r="1682" s="13" customFormat="1" x14ac:dyDescent="0.35"/>
    <row r="1683" s="13" customFormat="1" x14ac:dyDescent="0.35"/>
    <row r="1684" s="13" customFormat="1" x14ac:dyDescent="0.35"/>
    <row r="1685" s="13" customFormat="1" x14ac:dyDescent="0.35"/>
    <row r="1686" s="13" customFormat="1" x14ac:dyDescent="0.35"/>
    <row r="1687" s="13" customFormat="1" x14ac:dyDescent="0.35"/>
    <row r="1688" s="13" customFormat="1" x14ac:dyDescent="0.35"/>
    <row r="1689" s="13" customFormat="1" x14ac:dyDescent="0.35"/>
    <row r="1690" s="13" customFormat="1" x14ac:dyDescent="0.35"/>
    <row r="1691" s="13" customFormat="1" x14ac:dyDescent="0.35"/>
    <row r="1692" s="13" customFormat="1" x14ac:dyDescent="0.35"/>
    <row r="1693" s="13" customFormat="1" x14ac:dyDescent="0.35"/>
    <row r="1694" s="13" customFormat="1" x14ac:dyDescent="0.35"/>
    <row r="1695" s="13" customFormat="1" x14ac:dyDescent="0.35"/>
    <row r="1696" s="13" customFormat="1" x14ac:dyDescent="0.35"/>
    <row r="1697" s="13" customFormat="1" x14ac:dyDescent="0.35"/>
    <row r="1698" s="13" customFormat="1" x14ac:dyDescent="0.35"/>
    <row r="1699" s="13" customFormat="1" x14ac:dyDescent="0.35"/>
    <row r="1700" s="13" customFormat="1" x14ac:dyDescent="0.35"/>
    <row r="1701" s="13" customFormat="1" x14ac:dyDescent="0.35"/>
    <row r="1702" s="13" customFormat="1" x14ac:dyDescent="0.35"/>
    <row r="1703" s="13" customFormat="1" x14ac:dyDescent="0.35"/>
    <row r="1704" s="13" customFormat="1" x14ac:dyDescent="0.35"/>
    <row r="1705" s="13" customFormat="1" x14ac:dyDescent="0.35"/>
    <row r="1706" s="13" customFormat="1" x14ac:dyDescent="0.35"/>
    <row r="1707" s="13" customFormat="1" x14ac:dyDescent="0.35"/>
    <row r="1708" s="13" customFormat="1" x14ac:dyDescent="0.35"/>
    <row r="1709" s="13" customFormat="1" x14ac:dyDescent="0.35"/>
    <row r="1710" s="13" customFormat="1" x14ac:dyDescent="0.35"/>
    <row r="1711" s="13" customFormat="1" x14ac:dyDescent="0.35"/>
    <row r="1712" s="13" customFormat="1" x14ac:dyDescent="0.35"/>
    <row r="1713" s="13" customFormat="1" x14ac:dyDescent="0.35"/>
    <row r="1714" s="13" customFormat="1" x14ac:dyDescent="0.35"/>
    <row r="1715" s="13" customFormat="1" x14ac:dyDescent="0.35"/>
    <row r="1716" s="13" customFormat="1" x14ac:dyDescent="0.35"/>
    <row r="1717" s="13" customFormat="1" x14ac:dyDescent="0.35"/>
    <row r="1718" s="13" customFormat="1" x14ac:dyDescent="0.35"/>
    <row r="1719" s="13" customFormat="1" x14ac:dyDescent="0.35"/>
    <row r="1720" s="13" customFormat="1" x14ac:dyDescent="0.35"/>
    <row r="1721" s="13" customFormat="1" x14ac:dyDescent="0.35"/>
    <row r="1722" s="13" customFormat="1" x14ac:dyDescent="0.35"/>
    <row r="1723" s="13" customFormat="1" x14ac:dyDescent="0.35"/>
    <row r="1724" s="13" customFormat="1" x14ac:dyDescent="0.35"/>
    <row r="1725" s="13" customFormat="1" x14ac:dyDescent="0.35"/>
    <row r="1726" s="13" customFormat="1" x14ac:dyDescent="0.35"/>
    <row r="1727" s="13" customFormat="1" x14ac:dyDescent="0.35"/>
    <row r="1728" s="13" customFormat="1" x14ac:dyDescent="0.35"/>
    <row r="1729" s="13" customFormat="1" x14ac:dyDescent="0.35"/>
    <row r="1730" s="13" customFormat="1" x14ac:dyDescent="0.35"/>
    <row r="1731" s="13" customFormat="1" x14ac:dyDescent="0.35"/>
    <row r="1732" s="13" customFormat="1" x14ac:dyDescent="0.35"/>
    <row r="1733" s="13" customFormat="1" x14ac:dyDescent="0.35"/>
    <row r="1734" s="13" customFormat="1" x14ac:dyDescent="0.35"/>
    <row r="1735" s="13" customFormat="1" x14ac:dyDescent="0.35"/>
    <row r="1736" s="13" customFormat="1" x14ac:dyDescent="0.35"/>
    <row r="1737" s="13" customFormat="1" x14ac:dyDescent="0.35"/>
    <row r="1738" s="13" customFormat="1" x14ac:dyDescent="0.35"/>
    <row r="1739" s="13" customFormat="1" x14ac:dyDescent="0.35"/>
    <row r="1740" s="13" customFormat="1" x14ac:dyDescent="0.35"/>
    <row r="1741" s="13" customFormat="1" x14ac:dyDescent="0.35"/>
    <row r="1742" s="13" customFormat="1" x14ac:dyDescent="0.35"/>
    <row r="1743" s="13" customFormat="1" x14ac:dyDescent="0.35"/>
    <row r="1744" s="13" customFormat="1" x14ac:dyDescent="0.35"/>
    <row r="1745" s="13" customFormat="1" x14ac:dyDescent="0.35"/>
    <row r="1746" s="13" customFormat="1" x14ac:dyDescent="0.35"/>
    <row r="1747" s="13" customFormat="1" x14ac:dyDescent="0.35"/>
    <row r="1748" s="13" customFormat="1" x14ac:dyDescent="0.35"/>
    <row r="1749" s="13" customFormat="1" x14ac:dyDescent="0.35"/>
    <row r="1750" s="13" customFormat="1" x14ac:dyDescent="0.35"/>
    <row r="1751" s="13" customFormat="1" x14ac:dyDescent="0.35"/>
    <row r="1752" s="13" customFormat="1" x14ac:dyDescent="0.35"/>
    <row r="1753" s="13" customFormat="1" x14ac:dyDescent="0.35"/>
    <row r="1754" s="13" customFormat="1" x14ac:dyDescent="0.35"/>
    <row r="1755" s="13" customFormat="1" x14ac:dyDescent="0.35"/>
    <row r="1756" s="13" customFormat="1" x14ac:dyDescent="0.35"/>
    <row r="1757" s="13" customFormat="1" x14ac:dyDescent="0.35"/>
    <row r="1758" s="13" customFormat="1" x14ac:dyDescent="0.35"/>
    <row r="1759" s="13" customFormat="1" x14ac:dyDescent="0.35"/>
    <row r="1760" s="13" customFormat="1" x14ac:dyDescent="0.35"/>
    <row r="1761" s="13" customFormat="1" x14ac:dyDescent="0.35"/>
    <row r="1762" s="13" customFormat="1" x14ac:dyDescent="0.35"/>
    <row r="1763" s="13" customFormat="1" x14ac:dyDescent="0.35"/>
    <row r="1764" s="13" customFormat="1" x14ac:dyDescent="0.35"/>
    <row r="1765" s="13" customFormat="1" x14ac:dyDescent="0.35"/>
    <row r="1766" s="13" customFormat="1" x14ac:dyDescent="0.35"/>
    <row r="1767" s="13" customFormat="1" x14ac:dyDescent="0.35"/>
    <row r="1768" s="13" customFormat="1" x14ac:dyDescent="0.35"/>
    <row r="1769" s="13" customFormat="1" x14ac:dyDescent="0.35"/>
    <row r="1770" s="13" customFormat="1" x14ac:dyDescent="0.35"/>
    <row r="1771" s="13" customFormat="1" x14ac:dyDescent="0.35"/>
    <row r="1772" s="13" customFormat="1" x14ac:dyDescent="0.35"/>
    <row r="1773" s="13" customFormat="1" x14ac:dyDescent="0.35"/>
    <row r="1774" s="13" customFormat="1" x14ac:dyDescent="0.35"/>
    <row r="1775" s="13" customFormat="1" x14ac:dyDescent="0.35"/>
    <row r="1776" s="13" customFormat="1" x14ac:dyDescent="0.35"/>
    <row r="1777" s="13" customFormat="1" x14ac:dyDescent="0.35"/>
    <row r="1778" s="13" customFormat="1" x14ac:dyDescent="0.35"/>
    <row r="1779" s="13" customFormat="1" x14ac:dyDescent="0.35"/>
    <row r="1780" s="13" customFormat="1" x14ac:dyDescent="0.35"/>
    <row r="1781" s="13" customFormat="1" x14ac:dyDescent="0.35"/>
    <row r="1782" s="13" customFormat="1" x14ac:dyDescent="0.35"/>
    <row r="1783" s="13" customFormat="1" x14ac:dyDescent="0.35"/>
    <row r="1784" s="13" customFormat="1" x14ac:dyDescent="0.35"/>
    <row r="1785" s="13" customFormat="1" x14ac:dyDescent="0.35"/>
    <row r="1786" s="13" customFormat="1" x14ac:dyDescent="0.35"/>
    <row r="1787" s="13" customFormat="1" x14ac:dyDescent="0.35"/>
    <row r="1788" s="13" customFormat="1" x14ac:dyDescent="0.35"/>
    <row r="1789" s="13" customFormat="1" x14ac:dyDescent="0.35"/>
    <row r="1790" s="13" customFormat="1" x14ac:dyDescent="0.35"/>
    <row r="1791" s="13" customFormat="1" x14ac:dyDescent="0.35"/>
    <row r="1792" s="13" customFormat="1" x14ac:dyDescent="0.35"/>
    <row r="1793" s="13" customFormat="1" x14ac:dyDescent="0.35"/>
    <row r="1794" s="13" customFormat="1" x14ac:dyDescent="0.35"/>
    <row r="1795" s="13" customFormat="1" x14ac:dyDescent="0.35"/>
    <row r="1796" s="13" customFormat="1" x14ac:dyDescent="0.35"/>
    <row r="1797" s="13" customFormat="1" x14ac:dyDescent="0.35"/>
    <row r="1798" s="13" customFormat="1" x14ac:dyDescent="0.35"/>
    <row r="1799" s="13" customFormat="1" x14ac:dyDescent="0.35"/>
    <row r="1800" s="13" customFormat="1" x14ac:dyDescent="0.35"/>
    <row r="1801" s="13" customFormat="1" x14ac:dyDescent="0.35"/>
    <row r="1802" s="13" customFormat="1" x14ac:dyDescent="0.35"/>
    <row r="1803" s="13" customFormat="1" x14ac:dyDescent="0.35"/>
    <row r="1804" s="13" customFormat="1" x14ac:dyDescent="0.35"/>
    <row r="1805" s="13" customFormat="1" x14ac:dyDescent="0.35"/>
    <row r="1806" s="13" customFormat="1" x14ac:dyDescent="0.35"/>
    <row r="1807" s="13" customFormat="1" x14ac:dyDescent="0.35"/>
    <row r="1808" s="13" customFormat="1" x14ac:dyDescent="0.35"/>
    <row r="1809" s="13" customFormat="1" x14ac:dyDescent="0.35"/>
    <row r="1810" s="13" customFormat="1" x14ac:dyDescent="0.35"/>
    <row r="1811" s="13" customFormat="1" x14ac:dyDescent="0.35"/>
    <row r="1812" s="13" customFormat="1" x14ac:dyDescent="0.35"/>
    <row r="1813" s="13" customFormat="1" x14ac:dyDescent="0.35"/>
    <row r="1814" s="13" customFormat="1" x14ac:dyDescent="0.35"/>
    <row r="1815" s="13" customFormat="1" x14ac:dyDescent="0.35"/>
    <row r="1816" s="13" customFormat="1" x14ac:dyDescent="0.35"/>
    <row r="1817" s="13" customFormat="1" x14ac:dyDescent="0.35"/>
    <row r="1818" s="13" customFormat="1" x14ac:dyDescent="0.35"/>
    <row r="1819" s="13" customFormat="1" x14ac:dyDescent="0.35"/>
    <row r="1820" s="13" customFormat="1" x14ac:dyDescent="0.35"/>
    <row r="1821" s="13" customFormat="1" x14ac:dyDescent="0.35"/>
    <row r="1822" s="13" customFormat="1" x14ac:dyDescent="0.35"/>
    <row r="1823" s="13" customFormat="1" x14ac:dyDescent="0.35"/>
    <row r="1824" s="13" customFormat="1" x14ac:dyDescent="0.35"/>
    <row r="1825" s="13" customFormat="1" x14ac:dyDescent="0.35"/>
    <row r="1826" s="13" customFormat="1" x14ac:dyDescent="0.35"/>
    <row r="1827" s="13" customFormat="1" x14ac:dyDescent="0.35"/>
    <row r="1828" s="13" customFormat="1" x14ac:dyDescent="0.35"/>
    <row r="1829" s="13" customFormat="1" x14ac:dyDescent="0.35"/>
    <row r="1830" s="13" customFormat="1" x14ac:dyDescent="0.35"/>
    <row r="1831" s="13" customFormat="1" x14ac:dyDescent="0.35"/>
    <row r="1832" s="13" customFormat="1" x14ac:dyDescent="0.35"/>
    <row r="1833" s="13" customFormat="1" x14ac:dyDescent="0.35"/>
    <row r="1834" s="13" customFormat="1" x14ac:dyDescent="0.35"/>
    <row r="1835" s="13" customFormat="1" x14ac:dyDescent="0.35"/>
    <row r="1836" s="13" customFormat="1" x14ac:dyDescent="0.35"/>
    <row r="1837" s="13" customFormat="1" x14ac:dyDescent="0.35"/>
    <row r="1838" s="13" customFormat="1" x14ac:dyDescent="0.35"/>
    <row r="1839" s="13" customFormat="1" x14ac:dyDescent="0.35"/>
    <row r="1840" s="13" customFormat="1" x14ac:dyDescent="0.35"/>
    <row r="1841" s="13" customFormat="1" x14ac:dyDescent="0.35"/>
    <row r="1842" s="13" customFormat="1" x14ac:dyDescent="0.35"/>
    <row r="1843" s="13" customFormat="1" x14ac:dyDescent="0.35"/>
    <row r="1844" s="13" customFormat="1" x14ac:dyDescent="0.35"/>
    <row r="1845" s="13" customFormat="1" x14ac:dyDescent="0.35"/>
    <row r="1846" s="13" customFormat="1" x14ac:dyDescent="0.35"/>
    <row r="1847" s="13" customFormat="1" x14ac:dyDescent="0.35"/>
    <row r="1848" s="13" customFormat="1" x14ac:dyDescent="0.35"/>
    <row r="1849" s="13" customFormat="1" x14ac:dyDescent="0.35"/>
    <row r="1850" s="13" customFormat="1" x14ac:dyDescent="0.35"/>
    <row r="1851" s="13" customFormat="1" x14ac:dyDescent="0.35"/>
    <row r="1852" s="13" customFormat="1" x14ac:dyDescent="0.35"/>
    <row r="1853" s="13" customFormat="1" x14ac:dyDescent="0.35"/>
    <row r="1854" s="13" customFormat="1" x14ac:dyDescent="0.35"/>
    <row r="1855" s="13" customFormat="1" x14ac:dyDescent="0.35"/>
    <row r="1856" s="13" customFormat="1" x14ac:dyDescent="0.35"/>
    <row r="1857" s="13" customFormat="1" x14ac:dyDescent="0.35"/>
    <row r="1858" s="13" customFormat="1" x14ac:dyDescent="0.35"/>
    <row r="1859" s="13" customFormat="1" x14ac:dyDescent="0.35"/>
    <row r="1860" s="13" customFormat="1" x14ac:dyDescent="0.35"/>
    <row r="1861" s="13" customFormat="1" x14ac:dyDescent="0.35"/>
    <row r="1862" s="13" customFormat="1" x14ac:dyDescent="0.35"/>
    <row r="1863" s="13" customFormat="1" x14ac:dyDescent="0.35"/>
    <row r="1864" s="13" customFormat="1" x14ac:dyDescent="0.35"/>
    <row r="1865" s="13" customFormat="1" x14ac:dyDescent="0.35"/>
    <row r="1866" s="13" customFormat="1" x14ac:dyDescent="0.35"/>
    <row r="1867" s="13" customFormat="1" x14ac:dyDescent="0.35"/>
    <row r="1868" s="13" customFormat="1" x14ac:dyDescent="0.35"/>
    <row r="1869" s="13" customFormat="1" x14ac:dyDescent="0.35"/>
    <row r="1870" s="13" customFormat="1" x14ac:dyDescent="0.35"/>
    <row r="1871" s="13" customFormat="1" x14ac:dyDescent="0.35"/>
    <row r="1872" s="13" customFormat="1" x14ac:dyDescent="0.35"/>
    <row r="1873" s="13" customFormat="1" x14ac:dyDescent="0.35"/>
    <row r="1874" s="13" customFormat="1" x14ac:dyDescent="0.35"/>
    <row r="1875" s="13" customFormat="1" x14ac:dyDescent="0.35"/>
    <row r="1876" s="13" customFormat="1" x14ac:dyDescent="0.35"/>
    <row r="1877" s="13" customFormat="1" x14ac:dyDescent="0.35"/>
    <row r="1878" s="13" customFormat="1" x14ac:dyDescent="0.35"/>
    <row r="1879" s="13" customFormat="1" x14ac:dyDescent="0.35"/>
    <row r="1880" s="13" customFormat="1" x14ac:dyDescent="0.35"/>
    <row r="1881" s="13" customFormat="1" x14ac:dyDescent="0.35"/>
    <row r="1882" s="13" customFormat="1" x14ac:dyDescent="0.35"/>
    <row r="1883" s="13" customFormat="1" x14ac:dyDescent="0.35"/>
    <row r="1884" s="13" customFormat="1" x14ac:dyDescent="0.35"/>
    <row r="1885" s="13" customFormat="1" x14ac:dyDescent="0.35"/>
    <row r="1886" s="13" customFormat="1" x14ac:dyDescent="0.35"/>
    <row r="1887" s="13" customFormat="1" x14ac:dyDescent="0.35"/>
    <row r="1888" s="13" customFormat="1" x14ac:dyDescent="0.35"/>
    <row r="1889" s="13" customFormat="1" x14ac:dyDescent="0.35"/>
    <row r="1890" s="13" customFormat="1" x14ac:dyDescent="0.35"/>
    <row r="1891" s="13" customFormat="1" x14ac:dyDescent="0.35"/>
    <row r="1892" s="13" customFormat="1" x14ac:dyDescent="0.35"/>
    <row r="1893" s="13" customFormat="1" x14ac:dyDescent="0.35"/>
    <row r="1894" s="13" customFormat="1" x14ac:dyDescent="0.35"/>
    <row r="1895" s="13" customFormat="1" x14ac:dyDescent="0.35"/>
    <row r="1896" s="13" customFormat="1" x14ac:dyDescent="0.35"/>
    <row r="1897" s="13" customFormat="1" x14ac:dyDescent="0.35"/>
    <row r="1898" s="13" customFormat="1" x14ac:dyDescent="0.35"/>
    <row r="1899" s="13" customFormat="1" x14ac:dyDescent="0.35"/>
    <row r="1900" s="13" customFormat="1" x14ac:dyDescent="0.35"/>
    <row r="1901" s="13" customFormat="1" x14ac:dyDescent="0.35"/>
    <row r="1902" s="13" customFormat="1" x14ac:dyDescent="0.35"/>
    <row r="1903" s="13" customFormat="1" x14ac:dyDescent="0.35"/>
    <row r="1904" s="13" customFormat="1" x14ac:dyDescent="0.35"/>
    <row r="1905" s="13" customFormat="1" x14ac:dyDescent="0.35"/>
    <row r="1906" s="13" customFormat="1" x14ac:dyDescent="0.35"/>
    <row r="1907" s="13" customFormat="1" x14ac:dyDescent="0.35"/>
    <row r="1908" s="13" customFormat="1" x14ac:dyDescent="0.35"/>
    <row r="1909" s="13" customFormat="1" x14ac:dyDescent="0.35"/>
    <row r="1910" s="13" customFormat="1" x14ac:dyDescent="0.35"/>
    <row r="1911" s="13" customFormat="1" x14ac:dyDescent="0.35"/>
    <row r="1912" s="13" customFormat="1" x14ac:dyDescent="0.35"/>
    <row r="1913" s="13" customFormat="1" x14ac:dyDescent="0.35"/>
    <row r="1914" s="13" customFormat="1" x14ac:dyDescent="0.35"/>
    <row r="1915" s="13" customFormat="1" x14ac:dyDescent="0.35"/>
    <row r="1916" s="13" customFormat="1" x14ac:dyDescent="0.35"/>
    <row r="1917" s="13" customFormat="1" x14ac:dyDescent="0.35"/>
    <row r="1918" s="13" customFormat="1" x14ac:dyDescent="0.35"/>
    <row r="1919" s="13" customFormat="1" x14ac:dyDescent="0.35"/>
    <row r="1920" s="13" customFormat="1" x14ac:dyDescent="0.35"/>
    <row r="1921" s="13" customFormat="1" x14ac:dyDescent="0.35"/>
    <row r="1922" s="13" customFormat="1" x14ac:dyDescent="0.35"/>
    <row r="1923" s="13" customFormat="1" x14ac:dyDescent="0.35"/>
    <row r="1924" s="13" customFormat="1" x14ac:dyDescent="0.35"/>
    <row r="1925" s="13" customFormat="1" x14ac:dyDescent="0.35"/>
    <row r="1926" s="13" customFormat="1" x14ac:dyDescent="0.35"/>
    <row r="1927" s="13" customFormat="1" x14ac:dyDescent="0.35"/>
    <row r="1928" s="13" customFormat="1" x14ac:dyDescent="0.35"/>
    <row r="1929" s="13" customFormat="1" x14ac:dyDescent="0.35"/>
    <row r="1930" s="13" customFormat="1" x14ac:dyDescent="0.35"/>
    <row r="1931" s="13" customFormat="1" x14ac:dyDescent="0.35"/>
    <row r="1932" s="13" customFormat="1" x14ac:dyDescent="0.35"/>
    <row r="1933" s="13" customFormat="1" x14ac:dyDescent="0.35"/>
    <row r="1934" s="13" customFormat="1" x14ac:dyDescent="0.35"/>
    <row r="1935" s="13" customFormat="1" x14ac:dyDescent="0.35"/>
    <row r="1936" s="13" customFormat="1" x14ac:dyDescent="0.35"/>
    <row r="1937" s="13" customFormat="1" x14ac:dyDescent="0.35"/>
    <row r="1938" s="13" customFormat="1" x14ac:dyDescent="0.35"/>
    <row r="1939" s="13" customFormat="1" x14ac:dyDescent="0.35"/>
    <row r="1940" s="13" customFormat="1" x14ac:dyDescent="0.35"/>
    <row r="1941" s="13" customFormat="1" x14ac:dyDescent="0.35"/>
    <row r="1942" s="13" customFormat="1" x14ac:dyDescent="0.35"/>
    <row r="1943" s="13" customFormat="1" x14ac:dyDescent="0.35"/>
    <row r="1944" s="13" customFormat="1" x14ac:dyDescent="0.35"/>
    <row r="1945" s="13" customFormat="1" x14ac:dyDescent="0.35"/>
    <row r="1946" s="13" customFormat="1" x14ac:dyDescent="0.35"/>
    <row r="1947" s="13" customFormat="1" x14ac:dyDescent="0.35"/>
    <row r="1948" s="13" customFormat="1" x14ac:dyDescent="0.35"/>
    <row r="1949" s="13" customFormat="1" x14ac:dyDescent="0.35"/>
    <row r="1950" s="13" customFormat="1" x14ac:dyDescent="0.35"/>
    <row r="1951" s="13" customFormat="1" x14ac:dyDescent="0.35"/>
    <row r="1952" s="13" customFormat="1" x14ac:dyDescent="0.35"/>
    <row r="1953" s="13" customFormat="1" x14ac:dyDescent="0.35"/>
    <row r="1954" s="13" customFormat="1" x14ac:dyDescent="0.35"/>
    <row r="1955" s="13" customFormat="1" x14ac:dyDescent="0.35"/>
    <row r="1956" s="13" customFormat="1" x14ac:dyDescent="0.35"/>
    <row r="1957" s="13" customFormat="1" x14ac:dyDescent="0.35"/>
    <row r="1958" s="13" customFormat="1" x14ac:dyDescent="0.35"/>
    <row r="1959" s="13" customFormat="1" x14ac:dyDescent="0.35"/>
    <row r="1960" s="13" customFormat="1" x14ac:dyDescent="0.35"/>
    <row r="1961" s="13" customFormat="1" x14ac:dyDescent="0.35"/>
    <row r="1962" s="13" customFormat="1" x14ac:dyDescent="0.35"/>
    <row r="1963" s="13" customFormat="1" x14ac:dyDescent="0.35"/>
    <row r="1964" s="13" customFormat="1" x14ac:dyDescent="0.35"/>
    <row r="1965" s="13" customFormat="1" x14ac:dyDescent="0.35"/>
    <row r="1966" s="13" customFormat="1" x14ac:dyDescent="0.35"/>
    <row r="1967" s="13" customFormat="1" x14ac:dyDescent="0.35"/>
    <row r="1968" s="13" customFormat="1" x14ac:dyDescent="0.35"/>
    <row r="1969" s="13" customFormat="1" x14ac:dyDescent="0.35"/>
    <row r="1970" s="13" customFormat="1" x14ac:dyDescent="0.35"/>
    <row r="1971" s="13" customFormat="1" x14ac:dyDescent="0.35"/>
    <row r="1972" s="13" customFormat="1" x14ac:dyDescent="0.35"/>
    <row r="1973" s="13" customFormat="1" x14ac:dyDescent="0.35"/>
    <row r="1974" s="13" customFormat="1" x14ac:dyDescent="0.35"/>
    <row r="1975" s="13" customFormat="1" x14ac:dyDescent="0.35"/>
    <row r="1976" s="13" customFormat="1" x14ac:dyDescent="0.35"/>
    <row r="1977" s="13" customFormat="1" x14ac:dyDescent="0.35"/>
    <row r="1978" s="13" customFormat="1" x14ac:dyDescent="0.35"/>
    <row r="1979" s="13" customFormat="1" x14ac:dyDescent="0.35"/>
    <row r="1980" s="13" customFormat="1" x14ac:dyDescent="0.35"/>
    <row r="1981" s="13" customFormat="1" x14ac:dyDescent="0.35"/>
    <row r="1982" s="13" customFormat="1" x14ac:dyDescent="0.35"/>
    <row r="1983" s="13" customFormat="1" x14ac:dyDescent="0.35"/>
    <row r="1984" s="13" customFormat="1" x14ac:dyDescent="0.35"/>
    <row r="1985" s="13" customFormat="1" x14ac:dyDescent="0.35"/>
    <row r="1986" s="13" customFormat="1" x14ac:dyDescent="0.35"/>
    <row r="1987" s="13" customFormat="1" x14ac:dyDescent="0.35"/>
    <row r="1988" s="13" customFormat="1" x14ac:dyDescent="0.35"/>
    <row r="1989" s="13" customFormat="1" x14ac:dyDescent="0.35"/>
    <row r="1990" s="13" customFormat="1" x14ac:dyDescent="0.35"/>
    <row r="1991" s="13" customFormat="1" x14ac:dyDescent="0.35"/>
    <row r="1992" s="13" customFormat="1" x14ac:dyDescent="0.35"/>
    <row r="1993" s="13" customFormat="1" x14ac:dyDescent="0.35"/>
    <row r="1994" s="13" customFormat="1" x14ac:dyDescent="0.35"/>
    <row r="1995" s="13" customFormat="1" x14ac:dyDescent="0.35"/>
    <row r="1996" s="13" customFormat="1" x14ac:dyDescent="0.35"/>
    <row r="1997" s="13" customFormat="1" x14ac:dyDescent="0.35"/>
    <row r="1998" s="13" customFormat="1" x14ac:dyDescent="0.35"/>
    <row r="1999" s="13" customFormat="1" x14ac:dyDescent="0.35"/>
    <row r="2000" s="13" customFormat="1" x14ac:dyDescent="0.35"/>
    <row r="2001" s="13" customFormat="1" x14ac:dyDescent="0.35"/>
    <row r="2002" s="13" customFormat="1" x14ac:dyDescent="0.35"/>
    <row r="2003" s="13" customFormat="1" x14ac:dyDescent="0.35"/>
    <row r="2004" s="13" customFormat="1" x14ac:dyDescent="0.35"/>
    <row r="2005" s="13" customFormat="1" x14ac:dyDescent="0.35"/>
    <row r="2006" s="13" customFormat="1" x14ac:dyDescent="0.35"/>
    <row r="2007" s="13" customFormat="1" x14ac:dyDescent="0.35"/>
    <row r="2008" s="13" customFormat="1" x14ac:dyDescent="0.35"/>
    <row r="2009" s="13" customFormat="1" x14ac:dyDescent="0.35"/>
    <row r="2010" s="13" customFormat="1" x14ac:dyDescent="0.35"/>
    <row r="2011" s="13" customFormat="1" x14ac:dyDescent="0.35"/>
    <row r="2012" s="13" customFormat="1" x14ac:dyDescent="0.35"/>
    <row r="2013" s="13" customFormat="1" x14ac:dyDescent="0.35"/>
    <row r="2014" s="13" customFormat="1" x14ac:dyDescent="0.35"/>
    <row r="2015" s="13" customFormat="1" x14ac:dyDescent="0.35"/>
    <row r="2016" s="13" customFormat="1" x14ac:dyDescent="0.35"/>
    <row r="2017" s="13" customFormat="1" x14ac:dyDescent="0.35"/>
    <row r="2018" s="13" customFormat="1" x14ac:dyDescent="0.35"/>
    <row r="2019" s="13" customFormat="1" x14ac:dyDescent="0.35"/>
    <row r="2020" s="13" customFormat="1" x14ac:dyDescent="0.35"/>
    <row r="2021" s="13" customFormat="1" x14ac:dyDescent="0.35"/>
    <row r="2022" s="13" customFormat="1" x14ac:dyDescent="0.35"/>
    <row r="2023" s="13" customFormat="1" x14ac:dyDescent="0.35"/>
    <row r="2024" s="13" customFormat="1" x14ac:dyDescent="0.35"/>
    <row r="2025" s="13" customFormat="1" x14ac:dyDescent="0.35"/>
    <row r="2026" s="13" customFormat="1" x14ac:dyDescent="0.35"/>
    <row r="2027" s="13" customFormat="1" x14ac:dyDescent="0.35"/>
    <row r="2028" s="13" customFormat="1" x14ac:dyDescent="0.35"/>
    <row r="2029" s="13" customFormat="1" x14ac:dyDescent="0.35"/>
    <row r="2030" s="13" customFormat="1" x14ac:dyDescent="0.35"/>
    <row r="2031" s="13" customFormat="1" x14ac:dyDescent="0.35"/>
    <row r="2032" s="13" customFormat="1" x14ac:dyDescent="0.35"/>
    <row r="2033" s="13" customFormat="1" x14ac:dyDescent="0.35"/>
    <row r="2034" s="13" customFormat="1" x14ac:dyDescent="0.35"/>
    <row r="2035" s="13" customFormat="1" x14ac:dyDescent="0.35"/>
    <row r="2036" s="13" customFormat="1" x14ac:dyDescent="0.35"/>
    <row r="2037" s="13" customFormat="1" x14ac:dyDescent="0.35"/>
    <row r="2038" s="13" customFormat="1" x14ac:dyDescent="0.35"/>
    <row r="2039" s="13" customFormat="1" x14ac:dyDescent="0.35"/>
    <row r="2040" s="13" customFormat="1" x14ac:dyDescent="0.35"/>
    <row r="2041" s="13" customFormat="1" x14ac:dyDescent="0.35"/>
    <row r="2042" s="13" customFormat="1" x14ac:dyDescent="0.35"/>
    <row r="2043" s="13" customFormat="1" x14ac:dyDescent="0.35"/>
    <row r="2044" s="13" customFormat="1" x14ac:dyDescent="0.35"/>
    <row r="2045" s="13" customFormat="1" x14ac:dyDescent="0.35"/>
    <row r="2046" s="13" customFormat="1" x14ac:dyDescent="0.35"/>
    <row r="2047" s="13" customFormat="1" x14ac:dyDescent="0.35"/>
    <row r="2048" s="13" customFormat="1" x14ac:dyDescent="0.35"/>
    <row r="2049" s="13" customFormat="1" x14ac:dyDescent="0.35"/>
    <row r="2050" s="13" customFormat="1" x14ac:dyDescent="0.35"/>
    <row r="2051" s="13" customFormat="1" x14ac:dyDescent="0.35"/>
    <row r="2052" s="13" customFormat="1" x14ac:dyDescent="0.35"/>
    <row r="2053" s="13" customFormat="1" x14ac:dyDescent="0.35"/>
    <row r="2054" s="13" customFormat="1" x14ac:dyDescent="0.35"/>
    <row r="2055" s="13" customFormat="1" x14ac:dyDescent="0.35"/>
    <row r="2056" s="13" customFormat="1" x14ac:dyDescent="0.35"/>
    <row r="2057" s="13" customFormat="1" x14ac:dyDescent="0.35"/>
    <row r="2058" s="13" customFormat="1" x14ac:dyDescent="0.35"/>
    <row r="2059" s="13" customFormat="1" x14ac:dyDescent="0.35"/>
    <row r="2060" s="13" customFormat="1" x14ac:dyDescent="0.35"/>
    <row r="2061" s="13" customFormat="1" x14ac:dyDescent="0.35"/>
    <row r="2062" s="13" customFormat="1" x14ac:dyDescent="0.35"/>
    <row r="2063" s="13" customFormat="1" x14ac:dyDescent="0.35"/>
    <row r="2064" s="13" customFormat="1" x14ac:dyDescent="0.35"/>
    <row r="2065" s="13" customFormat="1" x14ac:dyDescent="0.35"/>
    <row r="2066" s="13" customFormat="1" x14ac:dyDescent="0.35"/>
    <row r="2067" s="13" customFormat="1" x14ac:dyDescent="0.35"/>
    <row r="2068" s="13" customFormat="1" x14ac:dyDescent="0.35"/>
    <row r="2069" s="13" customFormat="1" x14ac:dyDescent="0.35"/>
    <row r="2070" s="13" customFormat="1" x14ac:dyDescent="0.35"/>
    <row r="2071" s="13" customFormat="1" x14ac:dyDescent="0.35"/>
    <row r="2072" s="13" customFormat="1" x14ac:dyDescent="0.35"/>
    <row r="2073" s="13" customFormat="1" x14ac:dyDescent="0.35"/>
    <row r="2074" s="13" customFormat="1" x14ac:dyDescent="0.35"/>
    <row r="2075" s="13" customFormat="1" x14ac:dyDescent="0.35"/>
    <row r="2076" s="13" customFormat="1" x14ac:dyDescent="0.35"/>
    <row r="2077" s="13" customFormat="1" x14ac:dyDescent="0.35"/>
    <row r="2078" s="13" customFormat="1" x14ac:dyDescent="0.35"/>
    <row r="2079" s="13" customFormat="1" x14ac:dyDescent="0.35"/>
    <row r="2080" s="13" customFormat="1" x14ac:dyDescent="0.35"/>
    <row r="2081" s="13" customFormat="1" x14ac:dyDescent="0.35"/>
    <row r="2082" s="13" customFormat="1" x14ac:dyDescent="0.35"/>
    <row r="2083" s="13" customFormat="1" x14ac:dyDescent="0.35"/>
    <row r="2084" s="13" customFormat="1" x14ac:dyDescent="0.35"/>
    <row r="2085" s="13" customFormat="1" x14ac:dyDescent="0.35"/>
    <row r="2086" s="13" customFormat="1" x14ac:dyDescent="0.35"/>
    <row r="2087" s="13" customFormat="1" x14ac:dyDescent="0.35"/>
    <row r="2088" s="13" customFormat="1" x14ac:dyDescent="0.35"/>
    <row r="2089" s="13" customFormat="1" x14ac:dyDescent="0.35"/>
    <row r="2090" s="13" customFormat="1" x14ac:dyDescent="0.35"/>
    <row r="2091" s="13" customFormat="1" x14ac:dyDescent="0.35"/>
    <row r="2092" s="13" customFormat="1" x14ac:dyDescent="0.35"/>
    <row r="2093" s="13" customFormat="1" x14ac:dyDescent="0.35"/>
    <row r="2094" s="13" customFormat="1" x14ac:dyDescent="0.35"/>
    <row r="2095" s="13" customFormat="1" x14ac:dyDescent="0.35"/>
    <row r="2096" s="13" customFormat="1" x14ac:dyDescent="0.35"/>
    <row r="2097" s="13" customFormat="1" x14ac:dyDescent="0.35"/>
    <row r="2098" s="13" customFormat="1" x14ac:dyDescent="0.35"/>
    <row r="2099" s="13" customFormat="1" x14ac:dyDescent="0.35"/>
    <row r="2100" s="13" customFormat="1" x14ac:dyDescent="0.35"/>
    <row r="2101" s="13" customFormat="1" x14ac:dyDescent="0.35"/>
    <row r="2102" s="13" customFormat="1" x14ac:dyDescent="0.35"/>
    <row r="2103" s="13" customFormat="1" x14ac:dyDescent="0.35"/>
    <row r="2104" s="13" customFormat="1" x14ac:dyDescent="0.35"/>
    <row r="2105" s="13" customFormat="1" x14ac:dyDescent="0.35"/>
    <row r="2106" s="13" customFormat="1" x14ac:dyDescent="0.35"/>
    <row r="2107" s="13" customFormat="1" x14ac:dyDescent="0.35"/>
    <row r="2108" s="13" customFormat="1" x14ac:dyDescent="0.35"/>
    <row r="2109" s="13" customFormat="1" x14ac:dyDescent="0.35"/>
    <row r="2110" s="13" customFormat="1" x14ac:dyDescent="0.35"/>
    <row r="2111" s="13" customFormat="1" x14ac:dyDescent="0.35"/>
    <row r="2112" s="13" customFormat="1" x14ac:dyDescent="0.35"/>
    <row r="2113" s="13" customFormat="1" x14ac:dyDescent="0.35"/>
    <row r="2114" s="13" customFormat="1" x14ac:dyDescent="0.35"/>
    <row r="2115" s="13" customFormat="1" x14ac:dyDescent="0.35"/>
    <row r="2116" s="13" customFormat="1" x14ac:dyDescent="0.35"/>
    <row r="2117" s="13" customFormat="1" x14ac:dyDescent="0.35"/>
    <row r="2118" s="13" customFormat="1" x14ac:dyDescent="0.35"/>
    <row r="2119" s="13" customFormat="1" x14ac:dyDescent="0.35"/>
    <row r="2120" s="13" customFormat="1" x14ac:dyDescent="0.35"/>
    <row r="2121" s="13" customFormat="1" x14ac:dyDescent="0.35"/>
    <row r="2122" s="13" customFormat="1" x14ac:dyDescent="0.35"/>
    <row r="2123" s="13" customFormat="1" x14ac:dyDescent="0.35"/>
    <row r="2124" s="13" customFormat="1" x14ac:dyDescent="0.35"/>
    <row r="2125" s="13" customFormat="1" x14ac:dyDescent="0.35"/>
    <row r="2126" s="13" customFormat="1" x14ac:dyDescent="0.35"/>
    <row r="2127" s="13" customFormat="1" x14ac:dyDescent="0.35"/>
    <row r="2128" s="13" customFormat="1" x14ac:dyDescent="0.35"/>
    <row r="2129" s="13" customFormat="1" x14ac:dyDescent="0.35"/>
    <row r="2130" s="13" customFormat="1" x14ac:dyDescent="0.35"/>
    <row r="2131" s="13" customFormat="1" x14ac:dyDescent="0.35"/>
    <row r="2132" s="13" customFormat="1" x14ac:dyDescent="0.35"/>
    <row r="2133" s="13" customFormat="1" x14ac:dyDescent="0.35"/>
    <row r="2134" s="13" customFormat="1" x14ac:dyDescent="0.35"/>
    <row r="2135" s="13" customFormat="1" x14ac:dyDescent="0.35"/>
    <row r="2136" s="13" customFormat="1" x14ac:dyDescent="0.35"/>
    <row r="2137" s="13" customFormat="1" x14ac:dyDescent="0.35"/>
    <row r="2138" s="13" customFormat="1" x14ac:dyDescent="0.35"/>
    <row r="2139" s="13" customFormat="1" x14ac:dyDescent="0.35"/>
    <row r="2140" s="13" customFormat="1" x14ac:dyDescent="0.35"/>
    <row r="2141" s="13" customFormat="1" x14ac:dyDescent="0.35"/>
    <row r="2142" s="13" customFormat="1" x14ac:dyDescent="0.35"/>
    <row r="2143" s="13" customFormat="1" x14ac:dyDescent="0.35"/>
    <row r="2144" s="13" customFormat="1" x14ac:dyDescent="0.35"/>
    <row r="2145" s="13" customFormat="1" x14ac:dyDescent="0.35"/>
    <row r="2146" s="13" customFormat="1" x14ac:dyDescent="0.35"/>
    <row r="2147" s="13" customFormat="1" x14ac:dyDescent="0.35"/>
    <row r="2148" s="13" customFormat="1" x14ac:dyDescent="0.35"/>
    <row r="2149" s="13" customFormat="1" x14ac:dyDescent="0.35"/>
    <row r="2150" s="13" customFormat="1" x14ac:dyDescent="0.35"/>
    <row r="2151" s="13" customFormat="1" x14ac:dyDescent="0.35"/>
    <row r="2152" s="13" customFormat="1" x14ac:dyDescent="0.35"/>
    <row r="2153" s="13" customFormat="1" x14ac:dyDescent="0.35"/>
    <row r="2154" s="13" customFormat="1" x14ac:dyDescent="0.35"/>
    <row r="2155" s="13" customFormat="1" x14ac:dyDescent="0.35"/>
    <row r="2156" s="13" customFormat="1" x14ac:dyDescent="0.35"/>
    <row r="2157" s="13" customFormat="1" x14ac:dyDescent="0.35"/>
    <row r="2158" s="13" customFormat="1" x14ac:dyDescent="0.35"/>
    <row r="2159" s="13" customFormat="1" x14ac:dyDescent="0.35"/>
    <row r="2160" s="13" customFormat="1" x14ac:dyDescent="0.35"/>
    <row r="2161" s="13" customFormat="1" x14ac:dyDescent="0.35"/>
    <row r="2162" s="13" customFormat="1" x14ac:dyDescent="0.35"/>
    <row r="2163" s="13" customFormat="1" x14ac:dyDescent="0.35"/>
    <row r="2164" s="13" customFormat="1" x14ac:dyDescent="0.35"/>
    <row r="2165" s="13" customFormat="1" x14ac:dyDescent="0.35"/>
    <row r="2166" s="13" customFormat="1" x14ac:dyDescent="0.35"/>
    <row r="2167" s="13" customFormat="1" x14ac:dyDescent="0.35"/>
    <row r="2168" s="13" customFormat="1" x14ac:dyDescent="0.35"/>
    <row r="2169" s="13" customFormat="1" x14ac:dyDescent="0.35"/>
    <row r="2170" s="13" customFormat="1" x14ac:dyDescent="0.35"/>
    <row r="2171" s="13" customFormat="1" x14ac:dyDescent="0.35"/>
    <row r="2172" s="13" customFormat="1" x14ac:dyDescent="0.35"/>
    <row r="2173" s="13" customFormat="1" x14ac:dyDescent="0.35"/>
    <row r="2174" s="13" customFormat="1" x14ac:dyDescent="0.35"/>
    <row r="2175" s="13" customFormat="1" x14ac:dyDescent="0.35"/>
    <row r="2176" s="13" customFormat="1" x14ac:dyDescent="0.35"/>
    <row r="2177" s="13" customFormat="1" x14ac:dyDescent="0.35"/>
    <row r="2178" s="13" customFormat="1" x14ac:dyDescent="0.35"/>
    <row r="2179" s="13" customFormat="1" x14ac:dyDescent="0.35"/>
    <row r="2180" s="13" customFormat="1" x14ac:dyDescent="0.35"/>
    <row r="2181" s="13" customFormat="1" x14ac:dyDescent="0.35"/>
    <row r="2182" s="13" customFormat="1" x14ac:dyDescent="0.35"/>
    <row r="2183" s="13" customFormat="1" x14ac:dyDescent="0.35"/>
    <row r="2184" s="13" customFormat="1" x14ac:dyDescent="0.35"/>
    <row r="2185" s="13" customFormat="1" x14ac:dyDescent="0.35"/>
    <row r="2186" s="13" customFormat="1" x14ac:dyDescent="0.35"/>
    <row r="2187" s="13" customFormat="1" x14ac:dyDescent="0.35"/>
    <row r="2188" s="13" customFormat="1" x14ac:dyDescent="0.35"/>
    <row r="2189" s="13" customFormat="1" x14ac:dyDescent="0.35"/>
    <row r="2190" s="13" customFormat="1" x14ac:dyDescent="0.35"/>
    <row r="2191" s="13" customFormat="1" x14ac:dyDescent="0.35"/>
    <row r="2192" s="13" customFormat="1" x14ac:dyDescent="0.35"/>
    <row r="2193" s="13" customFormat="1" x14ac:dyDescent="0.35"/>
    <row r="2194" s="13" customFormat="1" x14ac:dyDescent="0.35"/>
    <row r="2195" s="13" customFormat="1" x14ac:dyDescent="0.35"/>
    <row r="2196" s="13" customFormat="1" x14ac:dyDescent="0.35"/>
    <row r="2197" s="13" customFormat="1" x14ac:dyDescent="0.35"/>
    <row r="2198" s="13" customFormat="1" x14ac:dyDescent="0.35"/>
    <row r="2199" s="13" customFormat="1" x14ac:dyDescent="0.35"/>
    <row r="2200" s="13" customFormat="1" x14ac:dyDescent="0.35"/>
    <row r="2201" s="13" customFormat="1" x14ac:dyDescent="0.35"/>
    <row r="2202" s="13" customFormat="1" x14ac:dyDescent="0.35"/>
    <row r="2203" s="13" customFormat="1" x14ac:dyDescent="0.35"/>
    <row r="2204" s="13" customFormat="1" x14ac:dyDescent="0.35"/>
    <row r="2205" s="13" customFormat="1" x14ac:dyDescent="0.35"/>
    <row r="2206" s="13" customFormat="1" x14ac:dyDescent="0.35"/>
    <row r="2207" s="13" customFormat="1" x14ac:dyDescent="0.35"/>
    <row r="2208" s="13" customFormat="1" x14ac:dyDescent="0.35"/>
    <row r="2209" s="13" customFormat="1" x14ac:dyDescent="0.35"/>
    <row r="2210" s="13" customFormat="1" x14ac:dyDescent="0.35"/>
    <row r="2211" s="13" customFormat="1" x14ac:dyDescent="0.35"/>
    <row r="2212" s="13" customFormat="1" x14ac:dyDescent="0.35"/>
    <row r="2213" s="13" customFormat="1" x14ac:dyDescent="0.35"/>
    <row r="2214" s="13" customFormat="1" x14ac:dyDescent="0.35"/>
    <row r="2215" s="13" customFormat="1" x14ac:dyDescent="0.35"/>
    <row r="2216" s="13" customFormat="1" x14ac:dyDescent="0.35"/>
    <row r="2217" s="13" customFormat="1" x14ac:dyDescent="0.35"/>
    <row r="2218" s="13" customFormat="1" x14ac:dyDescent="0.35"/>
    <row r="2219" s="13" customFormat="1" x14ac:dyDescent="0.35"/>
    <row r="2220" s="13" customFormat="1" x14ac:dyDescent="0.35"/>
    <row r="2221" s="13" customFormat="1" x14ac:dyDescent="0.35"/>
    <row r="2222" s="13" customFormat="1" x14ac:dyDescent="0.35"/>
    <row r="2223" s="13" customFormat="1" x14ac:dyDescent="0.35"/>
    <row r="2224" s="13" customFormat="1" x14ac:dyDescent="0.35"/>
    <row r="2225" s="13" customFormat="1" x14ac:dyDescent="0.35"/>
    <row r="2226" s="13" customFormat="1" x14ac:dyDescent="0.35"/>
    <row r="2227" s="13" customFormat="1" x14ac:dyDescent="0.35"/>
    <row r="2228" s="13" customFormat="1" x14ac:dyDescent="0.35"/>
    <row r="2229" s="13" customFormat="1" x14ac:dyDescent="0.35"/>
    <row r="2230" s="13" customFormat="1" x14ac:dyDescent="0.35"/>
    <row r="2231" s="13" customFormat="1" x14ac:dyDescent="0.35"/>
    <row r="2232" s="13" customFormat="1" x14ac:dyDescent="0.35"/>
    <row r="2233" s="13" customFormat="1" x14ac:dyDescent="0.35"/>
    <row r="2234" s="13" customFormat="1" x14ac:dyDescent="0.35"/>
    <row r="2235" s="13" customFormat="1" x14ac:dyDescent="0.35"/>
    <row r="2236" s="13" customFormat="1" x14ac:dyDescent="0.35"/>
    <row r="2237" s="13" customFormat="1" x14ac:dyDescent="0.35"/>
    <row r="2238" s="13" customFormat="1" x14ac:dyDescent="0.35"/>
    <row r="2239" s="13" customFormat="1" x14ac:dyDescent="0.35"/>
    <row r="2240" s="13" customFormat="1" x14ac:dyDescent="0.35"/>
    <row r="2241" s="13" customFormat="1" x14ac:dyDescent="0.35"/>
    <row r="2242" s="13" customFormat="1" x14ac:dyDescent="0.35"/>
    <row r="2243" s="13" customFormat="1" x14ac:dyDescent="0.35"/>
    <row r="2244" s="13" customFormat="1" x14ac:dyDescent="0.35"/>
    <row r="2245" s="13" customFormat="1" x14ac:dyDescent="0.35"/>
    <row r="2246" s="13" customFormat="1" x14ac:dyDescent="0.35"/>
    <row r="2247" s="13" customFormat="1" x14ac:dyDescent="0.35"/>
    <row r="2248" s="13" customFormat="1" x14ac:dyDescent="0.35"/>
    <row r="2249" s="13" customFormat="1" x14ac:dyDescent="0.35"/>
    <row r="2250" s="13" customFormat="1" x14ac:dyDescent="0.35"/>
    <row r="2251" s="13" customFormat="1" x14ac:dyDescent="0.35"/>
    <row r="2252" s="13" customFormat="1" x14ac:dyDescent="0.35"/>
    <row r="2253" s="13" customFormat="1" x14ac:dyDescent="0.35"/>
    <row r="2254" s="13" customFormat="1" x14ac:dyDescent="0.35"/>
    <row r="2255" s="13" customFormat="1" x14ac:dyDescent="0.35"/>
    <row r="2256" s="13" customFormat="1" x14ac:dyDescent="0.35"/>
    <row r="2257" s="13" customFormat="1" x14ac:dyDescent="0.35"/>
    <row r="2258" s="13" customFormat="1" x14ac:dyDescent="0.35"/>
    <row r="2259" s="13" customFormat="1" x14ac:dyDescent="0.35"/>
    <row r="2260" s="13" customFormat="1" x14ac:dyDescent="0.35"/>
    <row r="2261" s="13" customFormat="1" x14ac:dyDescent="0.35"/>
    <row r="2262" s="13" customFormat="1" x14ac:dyDescent="0.35"/>
    <row r="2263" s="13" customFormat="1" x14ac:dyDescent="0.35"/>
    <row r="2264" s="13" customFormat="1" x14ac:dyDescent="0.35"/>
    <row r="2265" s="13" customFormat="1" x14ac:dyDescent="0.35"/>
    <row r="2266" s="13" customFormat="1" x14ac:dyDescent="0.35"/>
    <row r="2267" s="13" customFormat="1" x14ac:dyDescent="0.35"/>
    <row r="2268" s="13" customFormat="1" x14ac:dyDescent="0.35"/>
    <row r="2269" s="13" customFormat="1" x14ac:dyDescent="0.35"/>
    <row r="2270" s="13" customFormat="1" x14ac:dyDescent="0.35"/>
    <row r="2271" s="13" customFormat="1" x14ac:dyDescent="0.35"/>
    <row r="2272" s="13" customFormat="1" x14ac:dyDescent="0.35"/>
    <row r="2273" s="13" customFormat="1" x14ac:dyDescent="0.35"/>
    <row r="2274" s="13" customFormat="1" x14ac:dyDescent="0.35"/>
    <row r="2275" s="13" customFormat="1" x14ac:dyDescent="0.35"/>
    <row r="2276" s="13" customFormat="1" x14ac:dyDescent="0.35"/>
    <row r="2277" s="13" customFormat="1" x14ac:dyDescent="0.35"/>
    <row r="2278" s="13" customFormat="1" x14ac:dyDescent="0.35"/>
    <row r="2279" s="13" customFormat="1" x14ac:dyDescent="0.35"/>
    <row r="2280" s="13" customFormat="1" x14ac:dyDescent="0.35"/>
    <row r="2281" s="13" customFormat="1" x14ac:dyDescent="0.35"/>
    <row r="2282" s="13" customFormat="1" x14ac:dyDescent="0.35"/>
    <row r="2283" s="13" customFormat="1" x14ac:dyDescent="0.35"/>
    <row r="2284" s="13" customFormat="1" x14ac:dyDescent="0.35"/>
    <row r="2285" s="13" customFormat="1" x14ac:dyDescent="0.35"/>
    <row r="2286" s="13" customFormat="1" x14ac:dyDescent="0.35"/>
    <row r="2287" s="13" customFormat="1" x14ac:dyDescent="0.35"/>
    <row r="2288" s="13" customFormat="1" x14ac:dyDescent="0.35"/>
    <row r="2289" s="13" customFormat="1" x14ac:dyDescent="0.35"/>
    <row r="2290" s="13" customFormat="1" x14ac:dyDescent="0.35"/>
    <row r="2291" s="13" customFormat="1" x14ac:dyDescent="0.35"/>
    <row r="2292" s="13" customFormat="1" x14ac:dyDescent="0.35"/>
    <row r="2293" s="13" customFormat="1" x14ac:dyDescent="0.35"/>
    <row r="2294" s="13" customFormat="1" x14ac:dyDescent="0.35"/>
    <row r="2295" s="13" customFormat="1" x14ac:dyDescent="0.35"/>
    <row r="2296" s="13" customFormat="1" x14ac:dyDescent="0.35"/>
    <row r="2297" s="13" customFormat="1" x14ac:dyDescent="0.35"/>
    <row r="2298" s="13" customFormat="1" x14ac:dyDescent="0.35"/>
    <row r="2299" s="13" customFormat="1" x14ac:dyDescent="0.35"/>
    <row r="2300" s="13" customFormat="1" x14ac:dyDescent="0.35"/>
    <row r="2301" s="13" customFormat="1" x14ac:dyDescent="0.35"/>
    <row r="2302" s="13" customFormat="1" x14ac:dyDescent="0.35"/>
    <row r="2303" s="13" customFormat="1" x14ac:dyDescent="0.35"/>
    <row r="2304" s="13" customFormat="1" x14ac:dyDescent="0.35"/>
    <row r="2305" s="13" customFormat="1" x14ac:dyDescent="0.35"/>
    <row r="2306" s="13" customFormat="1" x14ac:dyDescent="0.35"/>
    <row r="2307" s="13" customFormat="1" x14ac:dyDescent="0.35"/>
    <row r="2308" s="13" customFormat="1" x14ac:dyDescent="0.35"/>
    <row r="2309" s="13" customFormat="1" x14ac:dyDescent="0.35"/>
    <row r="2310" s="13" customFormat="1" x14ac:dyDescent="0.35"/>
    <row r="2311" s="13" customFormat="1" x14ac:dyDescent="0.35"/>
    <row r="2312" s="13" customFormat="1" x14ac:dyDescent="0.35"/>
    <row r="2313" s="13" customFormat="1" x14ac:dyDescent="0.35"/>
    <row r="2314" s="13" customFormat="1" x14ac:dyDescent="0.35"/>
    <row r="2315" s="13" customFormat="1" x14ac:dyDescent="0.35"/>
    <row r="2316" s="13" customFormat="1" x14ac:dyDescent="0.35"/>
    <row r="2317" s="13" customFormat="1" x14ac:dyDescent="0.35"/>
    <row r="2318" s="13" customFormat="1" x14ac:dyDescent="0.35"/>
    <row r="2319" s="13" customFormat="1" x14ac:dyDescent="0.35"/>
    <row r="2320" s="13" customFormat="1" x14ac:dyDescent="0.35"/>
    <row r="2321" s="13" customFormat="1" x14ac:dyDescent="0.35"/>
    <row r="2322" s="13" customFormat="1" x14ac:dyDescent="0.35"/>
    <row r="2323" s="13" customFormat="1" x14ac:dyDescent="0.35"/>
    <row r="2324" s="13" customFormat="1" x14ac:dyDescent="0.35"/>
    <row r="2325" s="13" customFormat="1" x14ac:dyDescent="0.35"/>
    <row r="2326" s="13" customFormat="1" x14ac:dyDescent="0.35"/>
    <row r="2327" s="13" customFormat="1" x14ac:dyDescent="0.35"/>
    <row r="2328" s="13" customFormat="1" x14ac:dyDescent="0.35"/>
    <row r="2329" s="13" customFormat="1" x14ac:dyDescent="0.35"/>
    <row r="2330" s="13" customFormat="1" x14ac:dyDescent="0.35"/>
    <row r="2331" s="13" customFormat="1" x14ac:dyDescent="0.35"/>
    <row r="2332" s="13" customFormat="1" x14ac:dyDescent="0.35"/>
    <row r="2333" s="13" customFormat="1" x14ac:dyDescent="0.35"/>
    <row r="2334" s="13" customFormat="1" x14ac:dyDescent="0.35"/>
    <row r="2335" s="13" customFormat="1" x14ac:dyDescent="0.35"/>
    <row r="2336" s="13" customFormat="1" x14ac:dyDescent="0.35"/>
    <row r="2337" s="13" customFormat="1" x14ac:dyDescent="0.35"/>
    <row r="2338" s="13" customFormat="1" x14ac:dyDescent="0.35"/>
    <row r="2339" s="13" customFormat="1" x14ac:dyDescent="0.35"/>
    <row r="2340" s="13" customFormat="1" x14ac:dyDescent="0.35"/>
    <row r="2341" s="13" customFormat="1" x14ac:dyDescent="0.35"/>
    <row r="2342" s="13" customFormat="1" x14ac:dyDescent="0.35"/>
    <row r="2343" s="13" customFormat="1" x14ac:dyDescent="0.35"/>
    <row r="2344" s="13" customFormat="1" x14ac:dyDescent="0.35"/>
    <row r="2345" s="13" customFormat="1" x14ac:dyDescent="0.35"/>
    <row r="2346" s="13" customFormat="1" x14ac:dyDescent="0.35"/>
    <row r="2347" s="13" customFormat="1" x14ac:dyDescent="0.35"/>
    <row r="2348" s="13" customFormat="1" x14ac:dyDescent="0.35"/>
    <row r="2349" s="13" customFormat="1" x14ac:dyDescent="0.35"/>
    <row r="2350" s="13" customFormat="1" x14ac:dyDescent="0.35"/>
    <row r="2351" s="13" customFormat="1" x14ac:dyDescent="0.35"/>
    <row r="2352" s="13" customFormat="1" x14ac:dyDescent="0.35"/>
    <row r="2353" s="13" customFormat="1" x14ac:dyDescent="0.35"/>
    <row r="2354" s="13" customFormat="1" x14ac:dyDescent="0.35"/>
    <row r="2355" s="13" customFormat="1" x14ac:dyDescent="0.35"/>
    <row r="2356" s="13" customFormat="1" x14ac:dyDescent="0.35"/>
    <row r="2357" s="13" customFormat="1" x14ac:dyDescent="0.35"/>
    <row r="2358" s="13" customFormat="1" x14ac:dyDescent="0.35"/>
    <row r="2359" s="13" customFormat="1" x14ac:dyDescent="0.35"/>
    <row r="2360" s="13" customFormat="1" x14ac:dyDescent="0.35"/>
    <row r="2361" s="13" customFormat="1" x14ac:dyDescent="0.35"/>
    <row r="2362" s="13" customFormat="1" x14ac:dyDescent="0.35"/>
    <row r="2363" s="13" customFormat="1" x14ac:dyDescent="0.35"/>
    <row r="2364" s="13" customFormat="1" x14ac:dyDescent="0.35"/>
    <row r="2365" s="13" customFormat="1" x14ac:dyDescent="0.35"/>
    <row r="2366" s="13" customFormat="1" x14ac:dyDescent="0.35"/>
    <row r="2367" s="13" customFormat="1" x14ac:dyDescent="0.35"/>
    <row r="2368" s="13" customFormat="1" x14ac:dyDescent="0.35"/>
    <row r="2369" s="13" customFormat="1" x14ac:dyDescent="0.35"/>
    <row r="2370" s="13" customFormat="1" x14ac:dyDescent="0.35"/>
    <row r="2371" s="13" customFormat="1" x14ac:dyDescent="0.35"/>
    <row r="2372" s="13" customFormat="1" x14ac:dyDescent="0.35"/>
    <row r="2373" s="13" customFormat="1" x14ac:dyDescent="0.35"/>
    <row r="2374" s="13" customFormat="1" x14ac:dyDescent="0.35"/>
    <row r="2375" s="13" customFormat="1" x14ac:dyDescent="0.35"/>
    <row r="2376" s="13" customFormat="1" x14ac:dyDescent="0.35"/>
    <row r="2377" s="13" customFormat="1" x14ac:dyDescent="0.35"/>
    <row r="2378" s="13" customFormat="1" x14ac:dyDescent="0.35"/>
    <row r="2379" s="13" customFormat="1" x14ac:dyDescent="0.35"/>
    <row r="2380" s="13" customFormat="1" x14ac:dyDescent="0.35"/>
    <row r="2381" s="13" customFormat="1" x14ac:dyDescent="0.35"/>
    <row r="2382" s="13" customFormat="1" x14ac:dyDescent="0.35"/>
    <row r="2383" s="13" customFormat="1" x14ac:dyDescent="0.35"/>
    <row r="2384" s="13" customFormat="1" x14ac:dyDescent="0.35"/>
    <row r="2385" s="13" customFormat="1" x14ac:dyDescent="0.35"/>
    <row r="2386" s="13" customFormat="1" x14ac:dyDescent="0.35"/>
    <row r="2387" s="13" customFormat="1" x14ac:dyDescent="0.35"/>
    <row r="2388" s="13" customFormat="1" x14ac:dyDescent="0.35"/>
    <row r="2389" s="13" customFormat="1" x14ac:dyDescent="0.35"/>
    <row r="2390" s="13" customFormat="1" x14ac:dyDescent="0.35"/>
    <row r="2391" s="13" customFormat="1" x14ac:dyDescent="0.35"/>
    <row r="2392" s="13" customFormat="1" x14ac:dyDescent="0.35"/>
    <row r="2393" s="13" customFormat="1" x14ac:dyDescent="0.35"/>
    <row r="2394" s="13" customFormat="1" x14ac:dyDescent="0.35"/>
    <row r="2395" s="13" customFormat="1" x14ac:dyDescent="0.35"/>
    <row r="2396" s="13" customFormat="1" x14ac:dyDescent="0.35"/>
    <row r="2397" s="13" customFormat="1" x14ac:dyDescent="0.35"/>
    <row r="2398" s="13" customFormat="1" x14ac:dyDescent="0.35"/>
    <row r="2399" s="13" customFormat="1" x14ac:dyDescent="0.35"/>
    <row r="2400" s="13" customFormat="1" x14ac:dyDescent="0.35"/>
    <row r="2401" s="13" customFormat="1" x14ac:dyDescent="0.35"/>
    <row r="2402" s="13" customFormat="1" x14ac:dyDescent="0.35"/>
    <row r="2403" s="13" customFormat="1" x14ac:dyDescent="0.35"/>
    <row r="2404" s="13" customFormat="1" x14ac:dyDescent="0.35"/>
    <row r="2405" s="13" customFormat="1" x14ac:dyDescent="0.35"/>
    <row r="2406" s="13" customFormat="1" x14ac:dyDescent="0.35"/>
    <row r="2407" s="13" customFormat="1" x14ac:dyDescent="0.35"/>
    <row r="2408" s="13" customFormat="1" x14ac:dyDescent="0.35"/>
    <row r="2409" s="13" customFormat="1" x14ac:dyDescent="0.35"/>
    <row r="2410" s="13" customFormat="1" x14ac:dyDescent="0.35"/>
    <row r="2411" s="13" customFormat="1" x14ac:dyDescent="0.35"/>
    <row r="2412" s="13" customFormat="1" x14ac:dyDescent="0.35"/>
    <row r="2413" s="13" customFormat="1" x14ac:dyDescent="0.35"/>
    <row r="2414" s="13" customFormat="1" x14ac:dyDescent="0.35"/>
    <row r="2415" s="13" customFormat="1" x14ac:dyDescent="0.35"/>
    <row r="2416" s="13" customFormat="1" x14ac:dyDescent="0.35"/>
    <row r="2417" s="13" customFormat="1" x14ac:dyDescent="0.35"/>
    <row r="2418" s="13" customFormat="1" x14ac:dyDescent="0.35"/>
    <row r="2419" s="13" customFormat="1" x14ac:dyDescent="0.35"/>
    <row r="2420" s="13" customFormat="1" x14ac:dyDescent="0.35"/>
    <row r="2421" s="13" customFormat="1" x14ac:dyDescent="0.35"/>
    <row r="2422" s="13" customFormat="1" x14ac:dyDescent="0.35"/>
    <row r="2423" s="13" customFormat="1" x14ac:dyDescent="0.35"/>
    <row r="2424" s="13" customFormat="1" x14ac:dyDescent="0.35"/>
    <row r="2425" s="13" customFormat="1" x14ac:dyDescent="0.35"/>
    <row r="2426" s="13" customFormat="1" x14ac:dyDescent="0.35"/>
    <row r="2427" s="13" customFormat="1" x14ac:dyDescent="0.35"/>
    <row r="2428" s="13" customFormat="1" x14ac:dyDescent="0.35"/>
    <row r="2429" s="13" customFormat="1" x14ac:dyDescent="0.35"/>
    <row r="2430" s="13" customFormat="1" x14ac:dyDescent="0.35"/>
    <row r="2431" s="13" customFormat="1" x14ac:dyDescent="0.35"/>
    <row r="2432" s="13" customFormat="1" x14ac:dyDescent="0.35"/>
    <row r="2433" s="13" customFormat="1" x14ac:dyDescent="0.35"/>
    <row r="2434" s="13" customFormat="1" x14ac:dyDescent="0.35"/>
    <row r="2435" s="13" customFormat="1" x14ac:dyDescent="0.35"/>
    <row r="2436" s="13" customFormat="1" x14ac:dyDescent="0.35"/>
    <row r="2437" s="13" customFormat="1" x14ac:dyDescent="0.35"/>
    <row r="2438" s="13" customFormat="1" x14ac:dyDescent="0.35"/>
    <row r="2439" s="13" customFormat="1" x14ac:dyDescent="0.35"/>
    <row r="2440" s="13" customFormat="1" x14ac:dyDescent="0.35"/>
    <row r="2441" s="13" customFormat="1" x14ac:dyDescent="0.35"/>
    <row r="2442" s="13" customFormat="1" x14ac:dyDescent="0.35"/>
    <row r="2443" s="13" customFormat="1" x14ac:dyDescent="0.35"/>
    <row r="2444" s="13" customFormat="1" x14ac:dyDescent="0.35"/>
    <row r="2445" s="13" customFormat="1" x14ac:dyDescent="0.35"/>
    <row r="2446" s="13" customFormat="1" x14ac:dyDescent="0.35"/>
    <row r="2447" s="13" customFormat="1" x14ac:dyDescent="0.35"/>
    <row r="2448" s="13" customFormat="1" x14ac:dyDescent="0.35"/>
    <row r="2449" s="13" customFormat="1" x14ac:dyDescent="0.35"/>
    <row r="2450" s="13" customFormat="1" x14ac:dyDescent="0.35"/>
    <row r="2451" s="13" customFormat="1" x14ac:dyDescent="0.35"/>
    <row r="2452" s="13" customFormat="1" x14ac:dyDescent="0.35"/>
    <row r="2453" s="13" customFormat="1" x14ac:dyDescent="0.35"/>
    <row r="2454" s="13" customFormat="1" x14ac:dyDescent="0.35"/>
    <row r="2455" s="13" customFormat="1" x14ac:dyDescent="0.35"/>
    <row r="2456" s="13" customFormat="1" x14ac:dyDescent="0.35"/>
    <row r="2457" s="13" customFormat="1" x14ac:dyDescent="0.35"/>
    <row r="2458" s="13" customFormat="1" x14ac:dyDescent="0.35"/>
    <row r="2459" s="13" customFormat="1" x14ac:dyDescent="0.35"/>
    <row r="2460" s="13" customFormat="1" x14ac:dyDescent="0.35"/>
    <row r="2461" s="13" customFormat="1" x14ac:dyDescent="0.35"/>
    <row r="2462" s="13" customFormat="1" x14ac:dyDescent="0.35"/>
    <row r="2463" s="13" customFormat="1" x14ac:dyDescent="0.35"/>
    <row r="2464" s="13" customFormat="1" x14ac:dyDescent="0.35"/>
    <row r="2465" s="13" customFormat="1" x14ac:dyDescent="0.35"/>
    <row r="2466" s="13" customFormat="1" x14ac:dyDescent="0.35"/>
    <row r="2467" s="13" customFormat="1" x14ac:dyDescent="0.35"/>
    <row r="2468" s="13" customFormat="1" x14ac:dyDescent="0.35"/>
    <row r="2469" s="13" customFormat="1" x14ac:dyDescent="0.35"/>
    <row r="2470" s="13" customFormat="1" x14ac:dyDescent="0.35"/>
    <row r="2471" s="13" customFormat="1" x14ac:dyDescent="0.35"/>
    <row r="2472" s="13" customFormat="1" x14ac:dyDescent="0.35"/>
    <row r="2473" s="13" customFormat="1" x14ac:dyDescent="0.35"/>
    <row r="2474" s="13" customFormat="1" x14ac:dyDescent="0.35"/>
    <row r="2475" s="13" customFormat="1" x14ac:dyDescent="0.35"/>
    <row r="2476" s="13" customFormat="1" x14ac:dyDescent="0.35"/>
    <row r="2477" s="13" customFormat="1" x14ac:dyDescent="0.35"/>
    <row r="2478" s="13" customFormat="1" x14ac:dyDescent="0.35"/>
    <row r="2479" s="13" customFormat="1" x14ac:dyDescent="0.35"/>
    <row r="2480" s="13" customFormat="1" x14ac:dyDescent="0.35"/>
    <row r="2481" s="13" customFormat="1" x14ac:dyDescent="0.35"/>
    <row r="2482" s="13" customFormat="1" x14ac:dyDescent="0.35"/>
    <row r="2483" s="13" customFormat="1" x14ac:dyDescent="0.35"/>
    <row r="2484" s="13" customFormat="1" x14ac:dyDescent="0.35"/>
    <row r="2485" s="13" customFormat="1" x14ac:dyDescent="0.35"/>
    <row r="2486" s="13" customFormat="1" x14ac:dyDescent="0.35"/>
    <row r="2487" s="13" customFormat="1" x14ac:dyDescent="0.35"/>
    <row r="2488" s="13" customFormat="1" x14ac:dyDescent="0.35"/>
    <row r="2489" s="13" customFormat="1" x14ac:dyDescent="0.35"/>
    <row r="2490" s="13" customFormat="1" x14ac:dyDescent="0.35"/>
    <row r="2491" s="13" customFormat="1" x14ac:dyDescent="0.35"/>
    <row r="2492" s="13" customFormat="1" x14ac:dyDescent="0.35"/>
    <row r="2493" s="13" customFormat="1" x14ac:dyDescent="0.35"/>
    <row r="2494" s="13" customFormat="1" x14ac:dyDescent="0.35"/>
    <row r="2495" s="13" customFormat="1" x14ac:dyDescent="0.35"/>
    <row r="2496" s="13" customFormat="1" x14ac:dyDescent="0.35"/>
    <row r="2497" s="13" customFormat="1" x14ac:dyDescent="0.35"/>
    <row r="2498" s="13" customFormat="1" x14ac:dyDescent="0.35"/>
    <row r="2499" s="13" customFormat="1" x14ac:dyDescent="0.35"/>
    <row r="2500" s="13" customFormat="1" x14ac:dyDescent="0.35"/>
    <row r="2501" s="13" customFormat="1" x14ac:dyDescent="0.35"/>
    <row r="2502" s="13" customFormat="1" x14ac:dyDescent="0.35"/>
    <row r="2503" s="13" customFormat="1" x14ac:dyDescent="0.35"/>
    <row r="2504" s="13" customFormat="1" x14ac:dyDescent="0.35"/>
    <row r="2505" s="13" customFormat="1" x14ac:dyDescent="0.35"/>
    <row r="2506" s="13" customFormat="1" x14ac:dyDescent="0.35"/>
    <row r="2507" s="13" customFormat="1" x14ac:dyDescent="0.35"/>
    <row r="2508" s="13" customFormat="1" x14ac:dyDescent="0.35"/>
    <row r="2509" s="13" customFormat="1" x14ac:dyDescent="0.35"/>
    <row r="2510" s="13" customFormat="1" x14ac:dyDescent="0.35"/>
    <row r="2511" s="13" customFormat="1" x14ac:dyDescent="0.35"/>
    <row r="2512" s="13" customFormat="1" x14ac:dyDescent="0.35"/>
    <row r="2513" s="13" customFormat="1" x14ac:dyDescent="0.35"/>
    <row r="2514" s="13" customFormat="1" x14ac:dyDescent="0.35"/>
    <row r="2515" s="13" customFormat="1" x14ac:dyDescent="0.35"/>
    <row r="2516" s="13" customFormat="1" x14ac:dyDescent="0.35"/>
    <row r="2517" s="13" customFormat="1" x14ac:dyDescent="0.35"/>
    <row r="2518" s="13" customFormat="1" x14ac:dyDescent="0.35"/>
    <row r="2519" s="13" customFormat="1" x14ac:dyDescent="0.35"/>
    <row r="2520" s="13" customFormat="1" x14ac:dyDescent="0.35"/>
    <row r="2521" s="13" customFormat="1" x14ac:dyDescent="0.35"/>
    <row r="2522" s="13" customFormat="1" x14ac:dyDescent="0.35"/>
    <row r="2523" s="13" customFormat="1" x14ac:dyDescent="0.35"/>
    <row r="2524" s="13" customFormat="1" x14ac:dyDescent="0.35"/>
    <row r="2525" s="13" customFormat="1" x14ac:dyDescent="0.35"/>
    <row r="2526" s="13" customFormat="1" x14ac:dyDescent="0.35"/>
    <row r="2527" s="13" customFormat="1" x14ac:dyDescent="0.35"/>
    <row r="2528" s="13" customFormat="1" x14ac:dyDescent="0.35"/>
    <row r="2529" s="13" customFormat="1" x14ac:dyDescent="0.35"/>
    <row r="2530" s="13" customFormat="1" x14ac:dyDescent="0.35"/>
    <row r="2531" s="13" customFormat="1" x14ac:dyDescent="0.35"/>
    <row r="2532" s="13" customFormat="1" x14ac:dyDescent="0.35"/>
    <row r="2533" s="13" customFormat="1" x14ac:dyDescent="0.35"/>
    <row r="2534" s="13" customFormat="1" x14ac:dyDescent="0.35"/>
    <row r="2535" s="13" customFormat="1" x14ac:dyDescent="0.35"/>
    <row r="2536" s="13" customFormat="1" x14ac:dyDescent="0.35"/>
    <row r="2537" s="13" customFormat="1" x14ac:dyDescent="0.35"/>
    <row r="2538" s="13" customFormat="1" x14ac:dyDescent="0.35"/>
    <row r="2539" s="13" customFormat="1" x14ac:dyDescent="0.35"/>
    <row r="2540" s="13" customFormat="1" x14ac:dyDescent="0.35"/>
    <row r="2541" s="13" customFormat="1" x14ac:dyDescent="0.35"/>
    <row r="2542" s="13" customFormat="1" x14ac:dyDescent="0.35"/>
    <row r="2543" s="13" customFormat="1" x14ac:dyDescent="0.35"/>
    <row r="2544" s="13" customFormat="1" x14ac:dyDescent="0.35"/>
    <row r="2545" s="13" customFormat="1" x14ac:dyDescent="0.35"/>
    <row r="2546" s="13" customFormat="1" x14ac:dyDescent="0.35"/>
    <row r="2547" s="13" customFormat="1" x14ac:dyDescent="0.35"/>
    <row r="2548" s="13" customFormat="1" x14ac:dyDescent="0.35"/>
    <row r="2549" s="13" customFormat="1" x14ac:dyDescent="0.35"/>
    <row r="2550" s="13" customFormat="1" x14ac:dyDescent="0.35"/>
    <row r="2551" s="13" customFormat="1" x14ac:dyDescent="0.35"/>
    <row r="2552" s="13" customFormat="1" x14ac:dyDescent="0.35"/>
    <row r="2553" s="13" customFormat="1" x14ac:dyDescent="0.35"/>
    <row r="2554" s="13" customFormat="1" x14ac:dyDescent="0.35"/>
    <row r="2555" s="13" customFormat="1" x14ac:dyDescent="0.35"/>
    <row r="2556" s="13" customFormat="1" x14ac:dyDescent="0.35"/>
    <row r="2557" s="13" customFormat="1" x14ac:dyDescent="0.35"/>
    <row r="2558" s="13" customFormat="1" x14ac:dyDescent="0.35"/>
    <row r="2559" s="13" customFormat="1" x14ac:dyDescent="0.35"/>
    <row r="2560" s="13" customFormat="1" x14ac:dyDescent="0.35"/>
    <row r="2561" s="13" customFormat="1" x14ac:dyDescent="0.35"/>
    <row r="2562" s="13" customFormat="1" x14ac:dyDescent="0.35"/>
    <row r="2563" s="13" customFormat="1" x14ac:dyDescent="0.35"/>
    <row r="2564" s="13" customFormat="1" x14ac:dyDescent="0.35"/>
    <row r="2565" s="13" customFormat="1" x14ac:dyDescent="0.35"/>
    <row r="2566" s="13" customFormat="1" x14ac:dyDescent="0.35"/>
    <row r="2567" s="13" customFormat="1" x14ac:dyDescent="0.35"/>
    <row r="2568" s="13" customFormat="1" x14ac:dyDescent="0.35"/>
    <row r="2569" s="13" customFormat="1" x14ac:dyDescent="0.35"/>
    <row r="2570" s="13" customFormat="1" x14ac:dyDescent="0.35"/>
    <row r="2571" s="13" customFormat="1" x14ac:dyDescent="0.35"/>
    <row r="2572" s="13" customFormat="1" x14ac:dyDescent="0.35"/>
    <row r="2573" s="13" customFormat="1" x14ac:dyDescent="0.35"/>
    <row r="2574" s="13" customFormat="1" x14ac:dyDescent="0.35"/>
    <row r="2575" s="13" customFormat="1" x14ac:dyDescent="0.35"/>
    <row r="2576" s="13" customFormat="1" x14ac:dyDescent="0.35"/>
    <row r="2577" s="13" customFormat="1" x14ac:dyDescent="0.35"/>
    <row r="2578" s="13" customFormat="1" x14ac:dyDescent="0.35"/>
    <row r="2579" s="13" customFormat="1" x14ac:dyDescent="0.35"/>
    <row r="2580" s="13" customFormat="1" x14ac:dyDescent="0.35"/>
    <row r="2581" s="13" customFormat="1" x14ac:dyDescent="0.35"/>
    <row r="2582" s="13" customFormat="1" x14ac:dyDescent="0.35"/>
    <row r="2583" s="13" customFormat="1" x14ac:dyDescent="0.35"/>
    <row r="2584" s="13" customFormat="1" x14ac:dyDescent="0.35"/>
    <row r="2585" s="13" customFormat="1" x14ac:dyDescent="0.35"/>
    <row r="2586" s="13" customFormat="1" x14ac:dyDescent="0.35"/>
    <row r="2587" s="13" customFormat="1" x14ac:dyDescent="0.35"/>
    <row r="2588" s="13" customFormat="1" x14ac:dyDescent="0.35"/>
    <row r="2589" s="13" customFormat="1" x14ac:dyDescent="0.35"/>
    <row r="2590" s="13" customFormat="1" x14ac:dyDescent="0.35"/>
    <row r="2591" s="13" customFormat="1" x14ac:dyDescent="0.35"/>
    <row r="2592" s="13" customFormat="1" x14ac:dyDescent="0.35"/>
    <row r="2593" s="13" customFormat="1" x14ac:dyDescent="0.35"/>
    <row r="2594" s="13" customFormat="1" x14ac:dyDescent="0.35"/>
    <row r="2595" s="13" customFormat="1" x14ac:dyDescent="0.35"/>
    <row r="2596" s="13" customFormat="1" x14ac:dyDescent="0.35"/>
    <row r="2597" s="13" customFormat="1" x14ac:dyDescent="0.35"/>
    <row r="2598" s="13" customFormat="1" x14ac:dyDescent="0.35"/>
    <row r="2599" s="13" customFormat="1" x14ac:dyDescent="0.35"/>
    <row r="2600" s="13" customFormat="1" x14ac:dyDescent="0.35"/>
    <row r="2601" s="13" customFormat="1" x14ac:dyDescent="0.35"/>
    <row r="2602" s="13" customFormat="1" x14ac:dyDescent="0.35"/>
    <row r="2603" s="13" customFormat="1" x14ac:dyDescent="0.35"/>
    <row r="2604" s="13" customFormat="1" x14ac:dyDescent="0.35"/>
    <row r="2605" s="13" customFormat="1" x14ac:dyDescent="0.35"/>
    <row r="2606" s="13" customFormat="1" x14ac:dyDescent="0.35"/>
    <row r="2607" s="13" customFormat="1" x14ac:dyDescent="0.35"/>
    <row r="2608" s="13" customFormat="1" x14ac:dyDescent="0.35"/>
    <row r="2609" s="13" customFormat="1" x14ac:dyDescent="0.35"/>
    <row r="2610" s="13" customFormat="1" x14ac:dyDescent="0.35"/>
    <row r="2611" s="13" customFormat="1" x14ac:dyDescent="0.35"/>
    <row r="2612" s="13" customFormat="1" x14ac:dyDescent="0.35"/>
    <row r="2613" s="13" customFormat="1" x14ac:dyDescent="0.35"/>
    <row r="2614" s="13" customFormat="1" x14ac:dyDescent="0.35"/>
    <row r="2615" s="13" customFormat="1" x14ac:dyDescent="0.35"/>
    <row r="2616" s="13" customFormat="1" x14ac:dyDescent="0.35"/>
    <row r="2617" s="13" customFormat="1" x14ac:dyDescent="0.35"/>
    <row r="2618" s="13" customFormat="1" x14ac:dyDescent="0.35"/>
    <row r="2619" s="13" customFormat="1" x14ac:dyDescent="0.35"/>
    <row r="2620" s="13" customFormat="1" x14ac:dyDescent="0.35"/>
    <row r="2621" s="13" customFormat="1" x14ac:dyDescent="0.35"/>
    <row r="2622" s="13" customFormat="1" x14ac:dyDescent="0.35"/>
    <row r="2623" s="13" customFormat="1" x14ac:dyDescent="0.35"/>
    <row r="2624" s="13" customFormat="1" x14ac:dyDescent="0.35"/>
    <row r="2625" s="13" customFormat="1" x14ac:dyDescent="0.35"/>
    <row r="2626" s="13" customFormat="1" x14ac:dyDescent="0.35"/>
    <row r="2627" s="13" customFormat="1" x14ac:dyDescent="0.35"/>
    <row r="2628" s="13" customFormat="1" x14ac:dyDescent="0.35"/>
    <row r="2629" s="13" customFormat="1" x14ac:dyDescent="0.35"/>
    <row r="2630" s="13" customFormat="1" x14ac:dyDescent="0.35"/>
    <row r="2631" s="13" customFormat="1" x14ac:dyDescent="0.35"/>
    <row r="2632" s="13" customFormat="1" x14ac:dyDescent="0.35"/>
    <row r="2633" s="13" customFormat="1" x14ac:dyDescent="0.35"/>
    <row r="2634" s="13" customFormat="1" x14ac:dyDescent="0.35"/>
    <row r="2635" s="13" customFormat="1" x14ac:dyDescent="0.35"/>
    <row r="2636" s="13" customFormat="1" x14ac:dyDescent="0.35"/>
    <row r="2637" s="13" customFormat="1" x14ac:dyDescent="0.35"/>
    <row r="2638" s="13" customFormat="1" x14ac:dyDescent="0.35"/>
    <row r="2639" s="13" customFormat="1" x14ac:dyDescent="0.35"/>
    <row r="2640" s="13" customFormat="1" x14ac:dyDescent="0.35"/>
    <row r="2641" s="13" customFormat="1" x14ac:dyDescent="0.35"/>
    <row r="2642" s="13" customFormat="1" x14ac:dyDescent="0.35"/>
    <row r="2643" s="13" customFormat="1" x14ac:dyDescent="0.35"/>
    <row r="2644" s="13" customFormat="1" x14ac:dyDescent="0.35"/>
    <row r="2645" s="13" customFormat="1" x14ac:dyDescent="0.35"/>
    <row r="2646" s="13" customFormat="1" x14ac:dyDescent="0.35"/>
    <row r="2647" s="13" customFormat="1" x14ac:dyDescent="0.35"/>
    <row r="2648" s="13" customFormat="1" x14ac:dyDescent="0.35"/>
    <row r="2649" s="13" customFormat="1" x14ac:dyDescent="0.35"/>
    <row r="2650" s="13" customFormat="1" x14ac:dyDescent="0.35"/>
    <row r="2651" s="13" customFormat="1" x14ac:dyDescent="0.35"/>
    <row r="2652" s="13" customFormat="1" x14ac:dyDescent="0.35"/>
    <row r="2653" s="13" customFormat="1" x14ac:dyDescent="0.35"/>
    <row r="2654" s="13" customFormat="1" x14ac:dyDescent="0.35"/>
    <row r="2655" s="13" customFormat="1" x14ac:dyDescent="0.35"/>
    <row r="2656" s="13" customFormat="1" x14ac:dyDescent="0.35"/>
    <row r="2657" s="13" customFormat="1" x14ac:dyDescent="0.35"/>
    <row r="2658" s="13" customFormat="1" x14ac:dyDescent="0.35"/>
    <row r="2659" s="13" customFormat="1" x14ac:dyDescent="0.35"/>
    <row r="2660" s="13" customFormat="1" x14ac:dyDescent="0.35"/>
    <row r="2661" s="13" customFormat="1" x14ac:dyDescent="0.35"/>
    <row r="2662" s="13" customFormat="1" x14ac:dyDescent="0.35"/>
    <row r="2663" s="13" customFormat="1" x14ac:dyDescent="0.35"/>
    <row r="2664" s="13" customFormat="1" x14ac:dyDescent="0.35"/>
    <row r="2665" s="13" customFormat="1" x14ac:dyDescent="0.35"/>
    <row r="2666" s="13" customFormat="1" x14ac:dyDescent="0.35"/>
    <row r="2667" s="13" customFormat="1" x14ac:dyDescent="0.35"/>
    <row r="2668" s="13" customFormat="1" x14ac:dyDescent="0.35"/>
    <row r="2669" s="13" customFormat="1" x14ac:dyDescent="0.35"/>
    <row r="2670" s="13" customFormat="1" x14ac:dyDescent="0.35"/>
    <row r="2671" s="13" customFormat="1" x14ac:dyDescent="0.35"/>
    <row r="2672" s="13" customFormat="1" x14ac:dyDescent="0.35"/>
    <row r="2673" s="13" customFormat="1" x14ac:dyDescent="0.35"/>
    <row r="2674" s="13" customFormat="1" x14ac:dyDescent="0.35"/>
    <row r="2675" s="13" customFormat="1" x14ac:dyDescent="0.35"/>
    <row r="2676" s="13" customFormat="1" x14ac:dyDescent="0.35"/>
    <row r="2677" s="13" customFormat="1" x14ac:dyDescent="0.35"/>
    <row r="2678" s="13" customFormat="1" x14ac:dyDescent="0.35"/>
    <row r="2679" s="13" customFormat="1" x14ac:dyDescent="0.35"/>
    <row r="2680" s="13" customFormat="1" x14ac:dyDescent="0.35"/>
    <row r="2681" s="13" customFormat="1" x14ac:dyDescent="0.35"/>
    <row r="2682" s="13" customFormat="1" x14ac:dyDescent="0.35"/>
    <row r="2683" s="13" customFormat="1" x14ac:dyDescent="0.35"/>
    <row r="2684" s="13" customFormat="1" x14ac:dyDescent="0.35"/>
    <row r="2685" s="13" customFormat="1" x14ac:dyDescent="0.35"/>
    <row r="2686" s="13" customFormat="1" x14ac:dyDescent="0.35"/>
    <row r="2687" s="13" customFormat="1" x14ac:dyDescent="0.35"/>
    <row r="2688" s="13" customFormat="1" x14ac:dyDescent="0.35"/>
    <row r="2689" s="13" customFormat="1" x14ac:dyDescent="0.35"/>
    <row r="2690" s="13" customFormat="1" x14ac:dyDescent="0.35"/>
    <row r="2691" s="13" customFormat="1" x14ac:dyDescent="0.35"/>
    <row r="2692" s="13" customFormat="1" x14ac:dyDescent="0.35"/>
    <row r="2693" s="13" customFormat="1" x14ac:dyDescent="0.35"/>
    <row r="2694" s="13" customFormat="1" x14ac:dyDescent="0.35"/>
    <row r="2695" s="13" customFormat="1" x14ac:dyDescent="0.35"/>
    <row r="2696" s="13" customFormat="1" x14ac:dyDescent="0.35"/>
    <row r="2697" s="13" customFormat="1" x14ac:dyDescent="0.35"/>
    <row r="2698" s="13" customFormat="1" x14ac:dyDescent="0.35"/>
    <row r="2699" s="13" customFormat="1" x14ac:dyDescent="0.35"/>
    <row r="2700" s="13" customFormat="1" x14ac:dyDescent="0.35"/>
    <row r="2701" s="13" customFormat="1" x14ac:dyDescent="0.35"/>
    <row r="2702" s="13" customFormat="1" x14ac:dyDescent="0.35"/>
    <row r="2703" s="13" customFormat="1" x14ac:dyDescent="0.35"/>
    <row r="2704" s="13" customFormat="1" x14ac:dyDescent="0.35"/>
    <row r="2705" s="13" customFormat="1" x14ac:dyDescent="0.35"/>
    <row r="2706" s="13" customFormat="1" x14ac:dyDescent="0.35"/>
    <row r="2707" s="13" customFormat="1" x14ac:dyDescent="0.35"/>
    <row r="2708" s="13" customFormat="1" x14ac:dyDescent="0.35"/>
    <row r="2709" s="13" customFormat="1" x14ac:dyDescent="0.35"/>
    <row r="2710" s="13" customFormat="1" x14ac:dyDescent="0.35"/>
    <row r="2711" s="13" customFormat="1" x14ac:dyDescent="0.35"/>
    <row r="2712" s="13" customFormat="1" x14ac:dyDescent="0.35"/>
    <row r="2713" s="13" customFormat="1" x14ac:dyDescent="0.35"/>
    <row r="2714" s="13" customFormat="1" x14ac:dyDescent="0.35"/>
    <row r="2715" s="13" customFormat="1" x14ac:dyDescent="0.35"/>
    <row r="2716" s="13" customFormat="1" x14ac:dyDescent="0.35"/>
    <row r="2717" s="13" customFormat="1" x14ac:dyDescent="0.35"/>
    <row r="2718" s="13" customFormat="1" x14ac:dyDescent="0.35"/>
    <row r="2719" s="13" customFormat="1" x14ac:dyDescent="0.35"/>
    <row r="2720" s="13" customFormat="1" x14ac:dyDescent="0.35"/>
    <row r="2721" s="13" customFormat="1" x14ac:dyDescent="0.35"/>
    <row r="2722" s="13" customFormat="1" x14ac:dyDescent="0.35"/>
    <row r="2723" s="13" customFormat="1" x14ac:dyDescent="0.35"/>
    <row r="2724" s="13" customFormat="1" x14ac:dyDescent="0.35"/>
    <row r="2725" s="13" customFormat="1" x14ac:dyDescent="0.35"/>
    <row r="2726" s="13" customFormat="1" x14ac:dyDescent="0.35"/>
    <row r="2727" s="13" customFormat="1" x14ac:dyDescent="0.35"/>
    <row r="2728" s="13" customFormat="1" x14ac:dyDescent="0.35"/>
    <row r="2729" s="13" customFormat="1" x14ac:dyDescent="0.35"/>
    <row r="2730" s="13" customFormat="1" x14ac:dyDescent="0.35"/>
    <row r="2731" s="13" customFormat="1" x14ac:dyDescent="0.35"/>
    <row r="2732" s="13" customFormat="1" x14ac:dyDescent="0.35"/>
    <row r="2733" s="13" customFormat="1" x14ac:dyDescent="0.35"/>
    <row r="2734" s="13" customFormat="1" x14ac:dyDescent="0.35"/>
    <row r="2735" s="13" customFormat="1" x14ac:dyDescent="0.35"/>
    <row r="2736" s="13" customFormat="1" x14ac:dyDescent="0.35"/>
    <row r="2737" s="13" customFormat="1" x14ac:dyDescent="0.35"/>
    <row r="2738" s="13" customFormat="1" x14ac:dyDescent="0.35"/>
    <row r="2739" s="13" customFormat="1" x14ac:dyDescent="0.35"/>
    <row r="2740" s="13" customFormat="1" x14ac:dyDescent="0.35"/>
    <row r="2741" s="13" customFormat="1" x14ac:dyDescent="0.35"/>
    <row r="2742" s="13" customFormat="1" x14ac:dyDescent="0.35"/>
    <row r="2743" s="13" customFormat="1" x14ac:dyDescent="0.35"/>
    <row r="2744" s="13" customFormat="1" x14ac:dyDescent="0.35"/>
    <row r="2745" s="13" customFormat="1" x14ac:dyDescent="0.35"/>
    <row r="2746" s="13" customFormat="1" x14ac:dyDescent="0.35"/>
    <row r="2747" s="13" customFormat="1" x14ac:dyDescent="0.35"/>
    <row r="2748" s="13" customFormat="1" x14ac:dyDescent="0.35"/>
    <row r="2749" s="13" customFormat="1" x14ac:dyDescent="0.35"/>
    <row r="2750" s="13" customFormat="1" x14ac:dyDescent="0.35"/>
    <row r="2751" s="13" customFormat="1" x14ac:dyDescent="0.35"/>
    <row r="2752" s="13" customFormat="1" x14ac:dyDescent="0.35"/>
    <row r="2753" s="13" customFormat="1" x14ac:dyDescent="0.35"/>
    <row r="2754" s="13" customFormat="1" x14ac:dyDescent="0.35"/>
    <row r="2755" s="13" customFormat="1" x14ac:dyDescent="0.35"/>
    <row r="2756" s="13" customFormat="1" x14ac:dyDescent="0.35"/>
    <row r="2757" s="13" customFormat="1" x14ac:dyDescent="0.35"/>
    <row r="2758" s="13" customFormat="1" x14ac:dyDescent="0.35"/>
    <row r="2759" s="13" customFormat="1" x14ac:dyDescent="0.35"/>
    <row r="2760" s="13" customFormat="1" x14ac:dyDescent="0.35"/>
    <row r="2761" s="13" customFormat="1" x14ac:dyDescent="0.35"/>
    <row r="2762" s="13" customFormat="1" x14ac:dyDescent="0.35"/>
    <row r="2763" s="13" customFormat="1" x14ac:dyDescent="0.35"/>
    <row r="2764" s="13" customFormat="1" x14ac:dyDescent="0.35"/>
    <row r="2765" s="13" customFormat="1" x14ac:dyDescent="0.35"/>
    <row r="2766" s="13" customFormat="1" x14ac:dyDescent="0.35"/>
    <row r="2767" s="13" customFormat="1" x14ac:dyDescent="0.35"/>
    <row r="2768" s="13" customFormat="1" x14ac:dyDescent="0.35"/>
    <row r="2769" s="13" customFormat="1" x14ac:dyDescent="0.35"/>
    <row r="2770" s="13" customFormat="1" x14ac:dyDescent="0.35"/>
    <row r="2771" s="13" customFormat="1" x14ac:dyDescent="0.35"/>
    <row r="2772" s="13" customFormat="1" x14ac:dyDescent="0.35"/>
    <row r="2773" s="13" customFormat="1" x14ac:dyDescent="0.35"/>
    <row r="2774" s="13" customFormat="1" x14ac:dyDescent="0.35"/>
    <row r="2775" s="13" customFormat="1" x14ac:dyDescent="0.35"/>
    <row r="2776" s="13" customFormat="1" x14ac:dyDescent="0.35"/>
    <row r="2777" s="13" customFormat="1" x14ac:dyDescent="0.35"/>
    <row r="2778" s="13" customFormat="1" x14ac:dyDescent="0.35"/>
    <row r="2779" s="13" customFormat="1" x14ac:dyDescent="0.35"/>
    <row r="2780" s="13" customFormat="1" x14ac:dyDescent="0.35"/>
    <row r="2781" s="13" customFormat="1" x14ac:dyDescent="0.35"/>
    <row r="2782" s="13" customFormat="1" x14ac:dyDescent="0.35"/>
    <row r="2783" s="13" customFormat="1" x14ac:dyDescent="0.35"/>
    <row r="2784" s="13" customFormat="1" x14ac:dyDescent="0.35"/>
    <row r="2785" s="13" customFormat="1" x14ac:dyDescent="0.35"/>
    <row r="2786" s="13" customFormat="1" x14ac:dyDescent="0.35"/>
    <row r="2787" s="13" customFormat="1" x14ac:dyDescent="0.35"/>
    <row r="2788" s="13" customFormat="1" x14ac:dyDescent="0.35"/>
    <row r="2789" s="13" customFormat="1" x14ac:dyDescent="0.35"/>
    <row r="2790" s="13" customFormat="1" x14ac:dyDescent="0.35"/>
    <row r="2791" s="13" customFormat="1" x14ac:dyDescent="0.35"/>
    <row r="2792" s="13" customFormat="1" x14ac:dyDescent="0.35"/>
    <row r="2793" s="13" customFormat="1" x14ac:dyDescent="0.35"/>
    <row r="2794" s="13" customFormat="1" x14ac:dyDescent="0.35"/>
    <row r="2795" s="13" customFormat="1" x14ac:dyDescent="0.35"/>
    <row r="2796" s="13" customFormat="1" x14ac:dyDescent="0.35"/>
    <row r="2797" s="13" customFormat="1" x14ac:dyDescent="0.35"/>
    <row r="2798" s="13" customFormat="1" x14ac:dyDescent="0.35"/>
    <row r="2799" s="13" customFormat="1" x14ac:dyDescent="0.35"/>
    <row r="2800" s="13" customFormat="1" x14ac:dyDescent="0.35"/>
    <row r="2801" s="13" customFormat="1" x14ac:dyDescent="0.35"/>
    <row r="2802" s="13" customFormat="1" x14ac:dyDescent="0.35"/>
    <row r="2803" s="13" customFormat="1" x14ac:dyDescent="0.35"/>
    <row r="2804" s="13" customFormat="1" x14ac:dyDescent="0.35"/>
    <row r="2805" s="13" customFormat="1" x14ac:dyDescent="0.35"/>
    <row r="2806" s="13" customFormat="1" x14ac:dyDescent="0.35"/>
    <row r="2807" s="13" customFormat="1" x14ac:dyDescent="0.35"/>
    <row r="2808" s="13" customFormat="1" x14ac:dyDescent="0.35"/>
    <row r="2809" s="13" customFormat="1" x14ac:dyDescent="0.35"/>
    <row r="2810" s="13" customFormat="1" x14ac:dyDescent="0.35"/>
    <row r="2811" s="13" customFormat="1" x14ac:dyDescent="0.35"/>
    <row r="2812" s="13" customFormat="1" x14ac:dyDescent="0.35"/>
    <row r="2813" s="13" customFormat="1" x14ac:dyDescent="0.35"/>
    <row r="2814" s="13" customFormat="1" x14ac:dyDescent="0.35"/>
    <row r="2815" s="13" customFormat="1" x14ac:dyDescent="0.35"/>
    <row r="2816" s="13" customFormat="1" x14ac:dyDescent="0.35"/>
    <row r="2817" s="13" customFormat="1" x14ac:dyDescent="0.35"/>
    <row r="2818" s="13" customFormat="1" x14ac:dyDescent="0.35"/>
    <row r="2819" s="13" customFormat="1" x14ac:dyDescent="0.35"/>
    <row r="2820" s="13" customFormat="1" x14ac:dyDescent="0.35"/>
    <row r="2821" s="13" customFormat="1" x14ac:dyDescent="0.35"/>
    <row r="2822" s="13" customFormat="1" x14ac:dyDescent="0.35"/>
    <row r="2823" s="13" customFormat="1" x14ac:dyDescent="0.35"/>
    <row r="2824" s="13" customFormat="1" x14ac:dyDescent="0.35"/>
    <row r="2825" s="13" customFormat="1" x14ac:dyDescent="0.35"/>
    <row r="2826" s="13" customFormat="1" x14ac:dyDescent="0.35"/>
    <row r="2827" s="13" customFormat="1" x14ac:dyDescent="0.35"/>
    <row r="2828" s="13" customFormat="1" x14ac:dyDescent="0.35"/>
    <row r="2829" s="13" customFormat="1" x14ac:dyDescent="0.35"/>
    <row r="2830" s="13" customFormat="1" x14ac:dyDescent="0.35"/>
    <row r="2831" s="13" customFormat="1" x14ac:dyDescent="0.35"/>
    <row r="2832" s="13" customFormat="1" x14ac:dyDescent="0.35"/>
    <row r="2833" s="13" customFormat="1" x14ac:dyDescent="0.35"/>
    <row r="2834" s="13" customFormat="1" x14ac:dyDescent="0.35"/>
    <row r="2835" s="13" customFormat="1" x14ac:dyDescent="0.35"/>
    <row r="2836" s="13" customFormat="1" x14ac:dyDescent="0.35"/>
    <row r="2837" s="13" customFormat="1" x14ac:dyDescent="0.35"/>
    <row r="2838" s="13" customFormat="1" x14ac:dyDescent="0.35"/>
    <row r="2839" s="13" customFormat="1" x14ac:dyDescent="0.35"/>
    <row r="2840" s="13" customFormat="1" x14ac:dyDescent="0.35"/>
    <row r="2841" s="13" customFormat="1" x14ac:dyDescent="0.35"/>
    <row r="2842" s="13" customFormat="1" x14ac:dyDescent="0.35"/>
    <row r="2843" s="13" customFormat="1" x14ac:dyDescent="0.35"/>
    <row r="2844" s="13" customFormat="1" x14ac:dyDescent="0.35"/>
    <row r="2845" s="13" customFormat="1" x14ac:dyDescent="0.35"/>
    <row r="2846" s="13" customFormat="1" x14ac:dyDescent="0.35"/>
    <row r="2847" s="13" customFormat="1" x14ac:dyDescent="0.35"/>
    <row r="2848" s="13" customFormat="1" x14ac:dyDescent="0.35"/>
    <row r="2849" s="13" customFormat="1" x14ac:dyDescent="0.35"/>
    <row r="2850" s="13" customFormat="1" x14ac:dyDescent="0.35"/>
    <row r="2851" s="13" customFormat="1" x14ac:dyDescent="0.35"/>
    <row r="2852" s="13" customFormat="1" x14ac:dyDescent="0.35"/>
    <row r="2853" s="13" customFormat="1" x14ac:dyDescent="0.35"/>
    <row r="2854" s="13" customFormat="1" x14ac:dyDescent="0.35"/>
    <row r="2855" s="13" customFormat="1" x14ac:dyDescent="0.35"/>
    <row r="2856" s="13" customFormat="1" x14ac:dyDescent="0.35"/>
    <row r="2857" s="13" customFormat="1" x14ac:dyDescent="0.35"/>
    <row r="2858" s="13" customFormat="1" x14ac:dyDescent="0.35"/>
    <row r="2859" s="13" customFormat="1" x14ac:dyDescent="0.35"/>
    <row r="2860" s="13" customFormat="1" x14ac:dyDescent="0.35"/>
    <row r="2861" s="13" customFormat="1" x14ac:dyDescent="0.35"/>
    <row r="2862" s="13" customFormat="1" x14ac:dyDescent="0.35"/>
    <row r="2863" s="13" customFormat="1" x14ac:dyDescent="0.35"/>
    <row r="2864" s="13" customFormat="1" x14ac:dyDescent="0.35"/>
    <row r="2865" s="13" customFormat="1" x14ac:dyDescent="0.35"/>
    <row r="2866" s="13" customFormat="1" x14ac:dyDescent="0.35"/>
    <row r="2867" s="13" customFormat="1" x14ac:dyDescent="0.35"/>
    <row r="2868" s="13" customFormat="1" x14ac:dyDescent="0.35"/>
    <row r="2869" s="13" customFormat="1" x14ac:dyDescent="0.35"/>
    <row r="2870" s="13" customFormat="1" x14ac:dyDescent="0.35"/>
    <row r="2871" s="13" customFormat="1" x14ac:dyDescent="0.35"/>
    <row r="2872" s="13" customFormat="1" x14ac:dyDescent="0.35"/>
    <row r="2873" s="13" customFormat="1" x14ac:dyDescent="0.35"/>
    <row r="2874" s="13" customFormat="1" x14ac:dyDescent="0.35"/>
    <row r="2875" s="13" customFormat="1" x14ac:dyDescent="0.35"/>
    <row r="2876" s="13" customFormat="1" x14ac:dyDescent="0.35"/>
    <row r="2877" s="13" customFormat="1" x14ac:dyDescent="0.35"/>
    <row r="2878" s="13" customFormat="1" x14ac:dyDescent="0.35"/>
    <row r="2879" s="13" customFormat="1" x14ac:dyDescent="0.35"/>
    <row r="2880" s="13" customFormat="1" x14ac:dyDescent="0.35"/>
    <row r="2881" s="13" customFormat="1" x14ac:dyDescent="0.35"/>
    <row r="2882" s="13" customFormat="1" x14ac:dyDescent="0.35"/>
    <row r="2883" s="13" customFormat="1" x14ac:dyDescent="0.35"/>
    <row r="2884" s="13" customFormat="1" x14ac:dyDescent="0.35"/>
    <row r="2885" s="13" customFormat="1" x14ac:dyDescent="0.35"/>
    <row r="2886" s="13" customFormat="1" x14ac:dyDescent="0.35"/>
    <row r="2887" s="13" customFormat="1" x14ac:dyDescent="0.35"/>
    <row r="2888" s="13" customFormat="1" x14ac:dyDescent="0.35"/>
    <row r="2889" s="13" customFormat="1" x14ac:dyDescent="0.35"/>
    <row r="2890" s="13" customFormat="1" x14ac:dyDescent="0.35"/>
    <row r="2891" s="13" customFormat="1" x14ac:dyDescent="0.35"/>
    <row r="2892" s="13" customFormat="1" x14ac:dyDescent="0.35"/>
    <row r="2893" s="13" customFormat="1" x14ac:dyDescent="0.35"/>
    <row r="2894" s="13" customFormat="1" x14ac:dyDescent="0.35"/>
    <row r="2895" s="13" customFormat="1" x14ac:dyDescent="0.35"/>
    <row r="2896" s="13" customFormat="1" x14ac:dyDescent="0.35"/>
    <row r="2897" s="13" customFormat="1" x14ac:dyDescent="0.35"/>
    <row r="2898" s="13" customFormat="1" x14ac:dyDescent="0.35"/>
    <row r="2899" s="13" customFormat="1" x14ac:dyDescent="0.35"/>
    <row r="2900" s="13" customFormat="1" x14ac:dyDescent="0.35"/>
    <row r="2901" s="13" customFormat="1" x14ac:dyDescent="0.35"/>
    <row r="2902" s="13" customFormat="1" x14ac:dyDescent="0.35"/>
    <row r="2903" s="13" customFormat="1" x14ac:dyDescent="0.35"/>
    <row r="2904" s="13" customFormat="1" x14ac:dyDescent="0.35"/>
    <row r="2905" s="13" customFormat="1" x14ac:dyDescent="0.35"/>
    <row r="2906" s="13" customFormat="1" x14ac:dyDescent="0.35"/>
    <row r="2907" s="13" customFormat="1" x14ac:dyDescent="0.35"/>
    <row r="2908" s="13" customFormat="1" x14ac:dyDescent="0.35"/>
    <row r="2909" s="13" customFormat="1" x14ac:dyDescent="0.35"/>
    <row r="2910" s="13" customFormat="1" x14ac:dyDescent="0.35"/>
    <row r="2911" s="13" customFormat="1" x14ac:dyDescent="0.35"/>
    <row r="2912" s="13" customFormat="1" x14ac:dyDescent="0.35"/>
    <row r="2913" s="13" customFormat="1" x14ac:dyDescent="0.35"/>
    <row r="2914" s="13" customFormat="1" x14ac:dyDescent="0.35"/>
    <row r="2915" s="13" customFormat="1" x14ac:dyDescent="0.35"/>
    <row r="2916" s="13" customFormat="1" x14ac:dyDescent="0.35"/>
    <row r="2917" s="13" customFormat="1" x14ac:dyDescent="0.35"/>
    <row r="2918" s="13" customFormat="1" x14ac:dyDescent="0.35"/>
    <row r="2919" s="13" customFormat="1" x14ac:dyDescent="0.35"/>
    <row r="2920" s="13" customFormat="1" x14ac:dyDescent="0.35"/>
    <row r="2921" s="13" customFormat="1" x14ac:dyDescent="0.35"/>
    <row r="2922" s="13" customFormat="1" x14ac:dyDescent="0.35"/>
    <row r="2923" s="13" customFormat="1" x14ac:dyDescent="0.35"/>
    <row r="2924" s="13" customFormat="1" x14ac:dyDescent="0.35"/>
    <row r="2925" s="13" customFormat="1" x14ac:dyDescent="0.35"/>
    <row r="2926" s="13" customFormat="1" x14ac:dyDescent="0.35"/>
    <row r="2927" s="13" customFormat="1" x14ac:dyDescent="0.35"/>
    <row r="2928" s="13" customFormat="1" x14ac:dyDescent="0.35"/>
    <row r="2929" s="13" customFormat="1" x14ac:dyDescent="0.35"/>
    <row r="2930" s="13" customFormat="1" x14ac:dyDescent="0.35"/>
    <row r="2931" s="13" customFormat="1" x14ac:dyDescent="0.35"/>
    <row r="2932" s="13" customFormat="1" x14ac:dyDescent="0.35"/>
    <row r="2933" s="13" customFormat="1" x14ac:dyDescent="0.35"/>
    <row r="2934" s="13" customFormat="1" x14ac:dyDescent="0.35"/>
    <row r="2935" s="13" customFormat="1" x14ac:dyDescent="0.35"/>
    <row r="2936" s="13" customFormat="1" x14ac:dyDescent="0.35"/>
    <row r="2937" s="13" customFormat="1" x14ac:dyDescent="0.35"/>
    <row r="2938" s="13" customFormat="1" x14ac:dyDescent="0.35"/>
    <row r="2939" s="13" customFormat="1" x14ac:dyDescent="0.35"/>
    <row r="2940" s="13" customFormat="1" x14ac:dyDescent="0.35"/>
    <row r="2941" s="13" customFormat="1" x14ac:dyDescent="0.35"/>
    <row r="2942" s="13" customFormat="1" x14ac:dyDescent="0.35"/>
    <row r="2943" s="13" customFormat="1" x14ac:dyDescent="0.35"/>
    <row r="2944" s="13" customFormat="1" x14ac:dyDescent="0.35"/>
    <row r="2945" s="13" customFormat="1" x14ac:dyDescent="0.35"/>
    <row r="2946" s="13" customFormat="1" x14ac:dyDescent="0.35"/>
    <row r="2947" s="13" customFormat="1" x14ac:dyDescent="0.35"/>
    <row r="2948" s="13" customFormat="1" x14ac:dyDescent="0.35"/>
    <row r="2949" s="13" customFormat="1" x14ac:dyDescent="0.35"/>
    <row r="2950" s="13" customFormat="1" x14ac:dyDescent="0.35"/>
    <row r="2951" s="13" customFormat="1" x14ac:dyDescent="0.35"/>
    <row r="2952" s="13" customFormat="1" x14ac:dyDescent="0.35"/>
    <row r="2953" s="13" customFormat="1" x14ac:dyDescent="0.35"/>
    <row r="2954" s="13" customFormat="1" x14ac:dyDescent="0.35"/>
    <row r="2955" s="13" customFormat="1" x14ac:dyDescent="0.35"/>
    <row r="2956" s="13" customFormat="1" x14ac:dyDescent="0.35"/>
    <row r="2957" s="13" customFormat="1" x14ac:dyDescent="0.35"/>
    <row r="2958" s="13" customFormat="1" x14ac:dyDescent="0.35"/>
    <row r="2959" s="13" customFormat="1" x14ac:dyDescent="0.35"/>
    <row r="2960" s="13" customFormat="1" x14ac:dyDescent="0.35"/>
    <row r="2961" s="13" customFormat="1" x14ac:dyDescent="0.35"/>
    <row r="2962" s="13" customFormat="1" x14ac:dyDescent="0.35"/>
    <row r="2963" s="13" customFormat="1" x14ac:dyDescent="0.35"/>
    <row r="2964" s="13" customFormat="1" x14ac:dyDescent="0.35"/>
    <row r="2965" s="13" customFormat="1" x14ac:dyDescent="0.35"/>
    <row r="2966" s="13" customFormat="1" x14ac:dyDescent="0.35"/>
    <row r="2967" s="13" customFormat="1" x14ac:dyDescent="0.35"/>
    <row r="2968" s="13" customFormat="1" x14ac:dyDescent="0.35"/>
    <row r="2969" s="13" customFormat="1" x14ac:dyDescent="0.35"/>
    <row r="2970" s="13" customFormat="1" x14ac:dyDescent="0.35"/>
    <row r="2971" s="13" customFormat="1" x14ac:dyDescent="0.35"/>
    <row r="2972" s="13" customFormat="1" x14ac:dyDescent="0.35"/>
    <row r="2973" s="13" customFormat="1" x14ac:dyDescent="0.35"/>
    <row r="2974" s="13" customFormat="1" x14ac:dyDescent="0.35"/>
    <row r="2975" s="13" customFormat="1" x14ac:dyDescent="0.35"/>
    <row r="2976" s="13" customFormat="1" x14ac:dyDescent="0.35"/>
    <row r="2977" s="13" customFormat="1" x14ac:dyDescent="0.35"/>
    <row r="2978" s="13" customFormat="1" x14ac:dyDescent="0.35"/>
    <row r="2979" s="13" customFormat="1" x14ac:dyDescent="0.35"/>
    <row r="2980" s="13" customFormat="1" x14ac:dyDescent="0.35"/>
    <row r="2981" s="13" customFormat="1" x14ac:dyDescent="0.35"/>
    <row r="2982" s="13" customFormat="1" x14ac:dyDescent="0.35"/>
    <row r="2983" s="13" customFormat="1" x14ac:dyDescent="0.35"/>
    <row r="2984" s="13" customFormat="1" x14ac:dyDescent="0.35"/>
    <row r="2985" s="13" customFormat="1" x14ac:dyDescent="0.35"/>
    <row r="2986" s="13" customFormat="1" x14ac:dyDescent="0.35"/>
    <row r="2987" s="13" customFormat="1" x14ac:dyDescent="0.35"/>
    <row r="2988" s="13" customFormat="1" x14ac:dyDescent="0.35"/>
    <row r="2989" s="13" customFormat="1" x14ac:dyDescent="0.35"/>
    <row r="2990" s="13" customFormat="1" x14ac:dyDescent="0.35"/>
    <row r="2991" s="13" customFormat="1" x14ac:dyDescent="0.35"/>
    <row r="2992" s="13" customFormat="1" x14ac:dyDescent="0.35"/>
    <row r="2993" s="13" customFormat="1" x14ac:dyDescent="0.35"/>
    <row r="2994" s="13" customFormat="1" x14ac:dyDescent="0.35"/>
    <row r="2995" s="13" customFormat="1" x14ac:dyDescent="0.35"/>
    <row r="2996" s="13" customFormat="1" x14ac:dyDescent="0.35"/>
    <row r="2997" s="13" customFormat="1" x14ac:dyDescent="0.35"/>
    <row r="2998" s="13" customFormat="1" x14ac:dyDescent="0.35"/>
    <row r="2999" s="13" customFormat="1" x14ac:dyDescent="0.35"/>
    <row r="3000" s="13" customFormat="1" x14ac:dyDescent="0.35"/>
    <row r="3001" s="13" customFormat="1" x14ac:dyDescent="0.35"/>
    <row r="3002" s="13" customFormat="1" x14ac:dyDescent="0.35"/>
    <row r="3003" s="13" customFormat="1" x14ac:dyDescent="0.35"/>
    <row r="3004" s="13" customFormat="1" x14ac:dyDescent="0.35"/>
    <row r="3005" s="13" customFormat="1" x14ac:dyDescent="0.35"/>
    <row r="3006" s="13" customFormat="1" x14ac:dyDescent="0.35"/>
    <row r="3007" s="13" customFormat="1" x14ac:dyDescent="0.35"/>
    <row r="3008" s="13" customFormat="1" x14ac:dyDescent="0.35"/>
    <row r="3009" s="13" customFormat="1" x14ac:dyDescent="0.35"/>
    <row r="3010" s="13" customFormat="1" x14ac:dyDescent="0.35"/>
    <row r="3011" s="13" customFormat="1" x14ac:dyDescent="0.35"/>
    <row r="3012" s="13" customFormat="1" x14ac:dyDescent="0.35"/>
    <row r="3013" s="13" customFormat="1" x14ac:dyDescent="0.35"/>
    <row r="3014" s="13" customFormat="1" x14ac:dyDescent="0.35"/>
    <row r="3015" s="13" customFormat="1" x14ac:dyDescent="0.35"/>
    <row r="3016" s="13" customFormat="1" x14ac:dyDescent="0.35"/>
    <row r="3017" s="13" customFormat="1" x14ac:dyDescent="0.35"/>
    <row r="3018" s="13" customFormat="1" x14ac:dyDescent="0.35"/>
    <row r="3019" s="13" customFormat="1" x14ac:dyDescent="0.35"/>
    <row r="3020" s="13" customFormat="1" x14ac:dyDescent="0.35"/>
    <row r="3021" s="13" customFormat="1" x14ac:dyDescent="0.35"/>
    <row r="3022" s="13" customFormat="1" x14ac:dyDescent="0.35"/>
    <row r="3023" s="13" customFormat="1" x14ac:dyDescent="0.35"/>
    <row r="3024" s="13" customFormat="1" x14ac:dyDescent="0.35"/>
    <row r="3025" s="13" customFormat="1" x14ac:dyDescent="0.35"/>
    <row r="3026" s="13" customFormat="1" x14ac:dyDescent="0.35"/>
    <row r="3027" s="13" customFormat="1" x14ac:dyDescent="0.35"/>
    <row r="3028" s="13" customFormat="1" x14ac:dyDescent="0.35"/>
    <row r="3029" s="13" customFormat="1" x14ac:dyDescent="0.35"/>
    <row r="3030" s="13" customFormat="1" x14ac:dyDescent="0.35"/>
    <row r="3031" s="13" customFormat="1" x14ac:dyDescent="0.35"/>
    <row r="3032" s="13" customFormat="1" x14ac:dyDescent="0.35"/>
    <row r="3033" s="13" customFormat="1" x14ac:dyDescent="0.35"/>
    <row r="3034" s="13" customFormat="1" x14ac:dyDescent="0.35"/>
    <row r="3035" s="13" customFormat="1" x14ac:dyDescent="0.35"/>
    <row r="3036" s="13" customFormat="1" x14ac:dyDescent="0.35"/>
    <row r="3037" s="13" customFormat="1" x14ac:dyDescent="0.35"/>
    <row r="3038" s="13" customFormat="1" x14ac:dyDescent="0.35"/>
    <row r="3039" s="13" customFormat="1" x14ac:dyDescent="0.35"/>
    <row r="3040" s="13" customFormat="1" x14ac:dyDescent="0.35"/>
    <row r="3041" s="13" customFormat="1" x14ac:dyDescent="0.35"/>
    <row r="3042" s="13" customFormat="1" x14ac:dyDescent="0.35"/>
    <row r="3043" s="13" customFormat="1" x14ac:dyDescent="0.35"/>
    <row r="3044" s="13" customFormat="1" x14ac:dyDescent="0.35"/>
    <row r="3045" s="13" customFormat="1" x14ac:dyDescent="0.35"/>
    <row r="3046" s="13" customFormat="1" x14ac:dyDescent="0.35"/>
    <row r="3047" s="13" customFormat="1" x14ac:dyDescent="0.35"/>
    <row r="3048" s="13" customFormat="1" x14ac:dyDescent="0.35"/>
    <row r="3049" s="13" customFormat="1" x14ac:dyDescent="0.35"/>
    <row r="3050" s="13" customFormat="1" x14ac:dyDescent="0.35"/>
    <row r="3051" s="13" customFormat="1" x14ac:dyDescent="0.35"/>
    <row r="3052" s="13" customFormat="1" x14ac:dyDescent="0.35"/>
    <row r="3053" s="13" customFormat="1" x14ac:dyDescent="0.35"/>
    <row r="3054" s="13" customFormat="1" x14ac:dyDescent="0.35"/>
    <row r="3055" s="13" customFormat="1" x14ac:dyDescent="0.35"/>
    <row r="3056" s="13" customFormat="1" x14ac:dyDescent="0.35"/>
    <row r="3057" s="13" customFormat="1" x14ac:dyDescent="0.35"/>
    <row r="3058" s="13" customFormat="1" x14ac:dyDescent="0.35"/>
    <row r="3059" s="13" customFormat="1" x14ac:dyDescent="0.35"/>
    <row r="3060" s="13" customFormat="1" x14ac:dyDescent="0.35"/>
    <row r="3061" s="13" customFormat="1" x14ac:dyDescent="0.35"/>
    <row r="3062" s="13" customFormat="1" x14ac:dyDescent="0.35"/>
    <row r="3063" s="13" customFormat="1" x14ac:dyDescent="0.35"/>
    <row r="3064" s="13" customFormat="1" x14ac:dyDescent="0.35"/>
    <row r="3065" s="13" customFormat="1" x14ac:dyDescent="0.35"/>
    <row r="3066" s="13" customFormat="1" x14ac:dyDescent="0.35"/>
    <row r="3067" s="13" customFormat="1" x14ac:dyDescent="0.35"/>
    <row r="3068" s="13" customFormat="1" x14ac:dyDescent="0.35"/>
    <row r="3069" s="13" customFormat="1" x14ac:dyDescent="0.35"/>
    <row r="3070" s="13" customFormat="1" x14ac:dyDescent="0.35"/>
    <row r="3071" s="13" customFormat="1" x14ac:dyDescent="0.35"/>
    <row r="3072" s="13" customFormat="1" x14ac:dyDescent="0.35"/>
    <row r="3073" s="13" customFormat="1" x14ac:dyDescent="0.35"/>
    <row r="3074" s="13" customFormat="1" x14ac:dyDescent="0.35"/>
    <row r="3075" s="13" customFormat="1" x14ac:dyDescent="0.35"/>
    <row r="3076" s="13" customFormat="1" x14ac:dyDescent="0.35"/>
    <row r="3077" s="13" customFormat="1" x14ac:dyDescent="0.35"/>
    <row r="3078" s="13" customFormat="1" x14ac:dyDescent="0.35"/>
    <row r="3079" s="13" customFormat="1" x14ac:dyDescent="0.35"/>
    <row r="3080" s="13" customFormat="1" x14ac:dyDescent="0.35"/>
    <row r="3081" s="13" customFormat="1" x14ac:dyDescent="0.35"/>
    <row r="3082" s="13" customFormat="1" x14ac:dyDescent="0.35"/>
    <row r="3083" s="13" customFormat="1" x14ac:dyDescent="0.35"/>
    <row r="3084" s="13" customFormat="1" x14ac:dyDescent="0.35"/>
    <row r="3085" s="13" customFormat="1" x14ac:dyDescent="0.35"/>
    <row r="3086" s="13" customFormat="1" x14ac:dyDescent="0.35"/>
    <row r="3087" s="13" customFormat="1" x14ac:dyDescent="0.35"/>
    <row r="3088" s="13" customFormat="1" x14ac:dyDescent="0.35"/>
    <row r="3089" s="13" customFormat="1" x14ac:dyDescent="0.35"/>
    <row r="3090" s="13" customFormat="1" x14ac:dyDescent="0.35"/>
    <row r="3091" s="13" customFormat="1" x14ac:dyDescent="0.35"/>
    <row r="3092" s="13" customFormat="1" x14ac:dyDescent="0.35"/>
    <row r="3093" s="13" customFormat="1" x14ac:dyDescent="0.35"/>
    <row r="3094" s="13" customFormat="1" x14ac:dyDescent="0.35"/>
    <row r="3095" s="13" customFormat="1" x14ac:dyDescent="0.35"/>
    <row r="3096" s="13" customFormat="1" x14ac:dyDescent="0.35"/>
    <row r="3097" s="13" customFormat="1" x14ac:dyDescent="0.35"/>
    <row r="3098" s="13" customFormat="1" x14ac:dyDescent="0.35"/>
    <row r="3099" s="13" customFormat="1" x14ac:dyDescent="0.35"/>
    <row r="3100" s="13" customFormat="1" x14ac:dyDescent="0.35"/>
    <row r="3101" s="13" customFormat="1" x14ac:dyDescent="0.35"/>
    <row r="3102" s="13" customFormat="1" x14ac:dyDescent="0.35"/>
    <row r="3103" s="13" customFormat="1" x14ac:dyDescent="0.35"/>
    <row r="3104" s="13" customFormat="1" x14ac:dyDescent="0.35"/>
    <row r="3105" s="13" customFormat="1" x14ac:dyDescent="0.35"/>
    <row r="3106" s="13" customFormat="1" x14ac:dyDescent="0.35"/>
    <row r="3107" s="13" customFormat="1" x14ac:dyDescent="0.35"/>
    <row r="3108" s="13" customFormat="1" x14ac:dyDescent="0.35"/>
    <row r="3109" s="13" customFormat="1" x14ac:dyDescent="0.35"/>
    <row r="3110" s="13" customFormat="1" x14ac:dyDescent="0.35"/>
    <row r="3111" s="13" customFormat="1" x14ac:dyDescent="0.35"/>
    <row r="3112" s="13" customFormat="1" x14ac:dyDescent="0.35"/>
    <row r="3113" s="13" customFormat="1" x14ac:dyDescent="0.35"/>
    <row r="3114" s="13" customFormat="1" x14ac:dyDescent="0.35"/>
    <row r="3115" s="13" customFormat="1" x14ac:dyDescent="0.35"/>
    <row r="3116" s="13" customFormat="1" x14ac:dyDescent="0.35"/>
    <row r="3117" s="13" customFormat="1" x14ac:dyDescent="0.35"/>
    <row r="3118" s="13" customFormat="1" x14ac:dyDescent="0.35"/>
    <row r="3119" s="13" customFormat="1" x14ac:dyDescent="0.35"/>
    <row r="3120" s="13" customFormat="1" x14ac:dyDescent="0.35"/>
    <row r="3121" s="13" customFormat="1" x14ac:dyDescent="0.35"/>
    <row r="3122" s="13" customFormat="1" x14ac:dyDescent="0.35"/>
    <row r="3123" s="13" customFormat="1" x14ac:dyDescent="0.35"/>
    <row r="3124" s="13" customFormat="1" x14ac:dyDescent="0.35"/>
    <row r="3125" s="13" customFormat="1" x14ac:dyDescent="0.35"/>
    <row r="3126" s="13" customFormat="1" x14ac:dyDescent="0.35"/>
    <row r="3127" s="13" customFormat="1" x14ac:dyDescent="0.35"/>
    <row r="3128" s="13" customFormat="1" x14ac:dyDescent="0.35"/>
    <row r="3129" s="13" customFormat="1" x14ac:dyDescent="0.35"/>
    <row r="3130" s="13" customFormat="1" x14ac:dyDescent="0.35"/>
    <row r="3131" s="13" customFormat="1" x14ac:dyDescent="0.35"/>
    <row r="3132" s="13" customFormat="1" x14ac:dyDescent="0.35"/>
    <row r="3133" s="13" customFormat="1" x14ac:dyDescent="0.35"/>
    <row r="3134" s="13" customFormat="1" x14ac:dyDescent="0.35"/>
    <row r="3135" s="13" customFormat="1" x14ac:dyDescent="0.35"/>
    <row r="3136" s="13" customFormat="1" x14ac:dyDescent="0.35"/>
    <row r="3137" s="13" customFormat="1" x14ac:dyDescent="0.35"/>
    <row r="3138" s="13" customFormat="1" x14ac:dyDescent="0.35"/>
    <row r="3139" s="13" customFormat="1" x14ac:dyDescent="0.35"/>
    <row r="3140" s="13" customFormat="1" x14ac:dyDescent="0.35"/>
    <row r="3141" s="13" customFormat="1" x14ac:dyDescent="0.35"/>
    <row r="3142" s="13" customFormat="1" x14ac:dyDescent="0.35"/>
    <row r="3143" s="13" customFormat="1" x14ac:dyDescent="0.35"/>
    <row r="3144" s="13" customFormat="1" x14ac:dyDescent="0.35"/>
    <row r="3145" s="13" customFormat="1" x14ac:dyDescent="0.35"/>
    <row r="3146" s="13" customFormat="1" x14ac:dyDescent="0.35"/>
    <row r="3147" s="13" customFormat="1" x14ac:dyDescent="0.35"/>
    <row r="3148" s="13" customFormat="1" x14ac:dyDescent="0.35"/>
    <row r="3149" s="13" customFormat="1" x14ac:dyDescent="0.35"/>
    <row r="3150" s="13" customFormat="1" x14ac:dyDescent="0.35"/>
    <row r="3151" s="13" customFormat="1" x14ac:dyDescent="0.35"/>
    <row r="3152" s="13" customFormat="1" x14ac:dyDescent="0.35"/>
    <row r="3153" s="13" customFormat="1" x14ac:dyDescent="0.35"/>
    <row r="3154" s="13" customFormat="1" x14ac:dyDescent="0.35"/>
    <row r="3155" s="13" customFormat="1" x14ac:dyDescent="0.35"/>
    <row r="3156" s="13" customFormat="1" x14ac:dyDescent="0.35"/>
    <row r="3157" s="13" customFormat="1" x14ac:dyDescent="0.35"/>
    <row r="3158" s="13" customFormat="1" x14ac:dyDescent="0.35"/>
    <row r="3159" s="13" customFormat="1" x14ac:dyDescent="0.35"/>
    <row r="3160" s="13" customFormat="1" x14ac:dyDescent="0.35"/>
    <row r="3161" s="13" customFormat="1" x14ac:dyDescent="0.35"/>
    <row r="3162" s="13" customFormat="1" x14ac:dyDescent="0.35"/>
    <row r="3163" s="13" customFormat="1" x14ac:dyDescent="0.35"/>
    <row r="3164" s="13" customFormat="1" x14ac:dyDescent="0.35"/>
    <row r="3165" s="13" customFormat="1" x14ac:dyDescent="0.35"/>
    <row r="3166" s="13" customFormat="1" x14ac:dyDescent="0.35"/>
    <row r="3167" s="13" customFormat="1" x14ac:dyDescent="0.35"/>
    <row r="3168" s="13" customFormat="1" x14ac:dyDescent="0.35"/>
    <row r="3169" s="13" customFormat="1" x14ac:dyDescent="0.35"/>
    <row r="3170" s="13" customFormat="1" x14ac:dyDescent="0.35"/>
    <row r="3171" s="13" customFormat="1" x14ac:dyDescent="0.35"/>
    <row r="3172" s="13" customFormat="1" x14ac:dyDescent="0.35"/>
    <row r="3173" s="13" customFormat="1" x14ac:dyDescent="0.35"/>
    <row r="3174" s="13" customFormat="1" x14ac:dyDescent="0.35"/>
    <row r="3175" s="13" customFormat="1" x14ac:dyDescent="0.35"/>
    <row r="3176" s="13" customFormat="1" x14ac:dyDescent="0.35"/>
    <row r="3177" s="13" customFormat="1" x14ac:dyDescent="0.35"/>
    <row r="3178" s="13" customFormat="1" x14ac:dyDescent="0.35"/>
    <row r="3179" s="13" customFormat="1" x14ac:dyDescent="0.35"/>
    <row r="3180" s="13" customFormat="1" x14ac:dyDescent="0.35"/>
    <row r="3181" s="13" customFormat="1" x14ac:dyDescent="0.35"/>
    <row r="3182" s="13" customFormat="1" x14ac:dyDescent="0.35"/>
    <row r="3183" s="13" customFormat="1" x14ac:dyDescent="0.35"/>
    <row r="3184" s="13" customFormat="1" x14ac:dyDescent="0.35"/>
    <row r="3185" s="13" customFormat="1" x14ac:dyDescent="0.35"/>
    <row r="3186" s="13" customFormat="1" x14ac:dyDescent="0.35"/>
    <row r="3187" s="13" customFormat="1" x14ac:dyDescent="0.35"/>
    <row r="3188" s="13" customFormat="1" x14ac:dyDescent="0.35"/>
    <row r="3189" s="13" customFormat="1" x14ac:dyDescent="0.35"/>
    <row r="3190" s="13" customFormat="1" x14ac:dyDescent="0.35"/>
    <row r="3191" s="13" customFormat="1" x14ac:dyDescent="0.35"/>
    <row r="3192" s="13" customFormat="1" x14ac:dyDescent="0.35"/>
    <row r="3193" s="13" customFormat="1" x14ac:dyDescent="0.35"/>
    <row r="3194" s="13" customFormat="1" x14ac:dyDescent="0.35"/>
    <row r="3195" s="13" customFormat="1" x14ac:dyDescent="0.35"/>
    <row r="3196" s="13" customFormat="1" x14ac:dyDescent="0.35"/>
    <row r="3197" s="13" customFormat="1" x14ac:dyDescent="0.35"/>
    <row r="3198" s="13" customFormat="1" x14ac:dyDescent="0.35"/>
    <row r="3199" s="13" customFormat="1" x14ac:dyDescent="0.35"/>
    <row r="3200" s="13" customFormat="1" x14ac:dyDescent="0.35"/>
    <row r="3201" s="13" customFormat="1" x14ac:dyDescent="0.35"/>
    <row r="3202" s="13" customFormat="1" x14ac:dyDescent="0.35"/>
    <row r="3203" s="13" customFormat="1" x14ac:dyDescent="0.35"/>
    <row r="3204" s="13" customFormat="1" x14ac:dyDescent="0.35"/>
    <row r="3205" s="13" customFormat="1" x14ac:dyDescent="0.35"/>
    <row r="3206" s="13" customFormat="1" x14ac:dyDescent="0.35"/>
    <row r="3207" s="13" customFormat="1" x14ac:dyDescent="0.35"/>
    <row r="3208" s="13" customFormat="1" x14ac:dyDescent="0.35"/>
    <row r="3209" s="13" customFormat="1" x14ac:dyDescent="0.35"/>
    <row r="3210" s="13" customFormat="1" x14ac:dyDescent="0.35"/>
    <row r="3211" s="13" customFormat="1" x14ac:dyDescent="0.35"/>
    <row r="3212" s="13" customFormat="1" x14ac:dyDescent="0.35"/>
    <row r="3213" s="13" customFormat="1" x14ac:dyDescent="0.35"/>
    <row r="3214" s="13" customFormat="1" x14ac:dyDescent="0.35"/>
    <row r="3215" s="13" customFormat="1" x14ac:dyDescent="0.35"/>
    <row r="3216" s="13" customFormat="1" x14ac:dyDescent="0.35"/>
    <row r="3217" s="13" customFormat="1" x14ac:dyDescent="0.35"/>
    <row r="3218" s="13" customFormat="1" x14ac:dyDescent="0.35"/>
    <row r="3219" s="13" customFormat="1" x14ac:dyDescent="0.35"/>
    <row r="3220" s="13" customFormat="1" x14ac:dyDescent="0.35"/>
    <row r="3221" s="13" customFormat="1" x14ac:dyDescent="0.35"/>
    <row r="3222" s="13" customFormat="1" x14ac:dyDescent="0.35"/>
    <row r="3223" s="13" customFormat="1" x14ac:dyDescent="0.35"/>
    <row r="3224" s="13" customFormat="1" x14ac:dyDescent="0.35"/>
    <row r="3225" s="13" customFormat="1" x14ac:dyDescent="0.35"/>
    <row r="3226" s="13" customFormat="1" x14ac:dyDescent="0.35"/>
    <row r="3227" s="13" customFormat="1" x14ac:dyDescent="0.35"/>
    <row r="3228" s="13" customFormat="1" x14ac:dyDescent="0.35"/>
    <row r="3229" s="13" customFormat="1" x14ac:dyDescent="0.35"/>
    <row r="3230" s="13" customFormat="1" x14ac:dyDescent="0.35"/>
    <row r="3231" s="13" customFormat="1" x14ac:dyDescent="0.35"/>
    <row r="3232" s="13" customFormat="1" x14ac:dyDescent="0.35"/>
    <row r="3233" s="13" customFormat="1" x14ac:dyDescent="0.35"/>
    <row r="3234" s="13" customFormat="1" x14ac:dyDescent="0.35"/>
    <row r="3235" s="13" customFormat="1" x14ac:dyDescent="0.35"/>
    <row r="3236" s="13" customFormat="1" x14ac:dyDescent="0.35"/>
    <row r="3237" s="13" customFormat="1" x14ac:dyDescent="0.35"/>
    <row r="3238" s="13" customFormat="1" x14ac:dyDescent="0.35"/>
    <row r="3239" s="13" customFormat="1" x14ac:dyDescent="0.35"/>
    <row r="3240" s="13" customFormat="1" x14ac:dyDescent="0.35"/>
    <row r="3241" s="13" customFormat="1" x14ac:dyDescent="0.35"/>
    <row r="3242" s="13" customFormat="1" x14ac:dyDescent="0.35"/>
    <row r="3243" s="13" customFormat="1" x14ac:dyDescent="0.35"/>
    <row r="3244" s="13" customFormat="1" x14ac:dyDescent="0.35"/>
    <row r="3245" s="13" customFormat="1" x14ac:dyDescent="0.35"/>
    <row r="3246" s="13" customFormat="1" x14ac:dyDescent="0.35"/>
    <row r="3247" s="13" customFormat="1" x14ac:dyDescent="0.35"/>
    <row r="3248" s="13" customFormat="1" x14ac:dyDescent="0.35"/>
    <row r="3249" s="13" customFormat="1" x14ac:dyDescent="0.35"/>
    <row r="3250" s="13" customFormat="1" x14ac:dyDescent="0.35"/>
    <row r="3251" s="13" customFormat="1" x14ac:dyDescent="0.35"/>
    <row r="3252" s="13" customFormat="1" x14ac:dyDescent="0.35"/>
    <row r="3253" s="13" customFormat="1" x14ac:dyDescent="0.35"/>
    <row r="3254" s="13" customFormat="1" x14ac:dyDescent="0.35"/>
    <row r="3255" s="13" customFormat="1" x14ac:dyDescent="0.35"/>
    <row r="3256" s="13" customFormat="1" x14ac:dyDescent="0.35"/>
    <row r="3257" s="13" customFormat="1" x14ac:dyDescent="0.35"/>
    <row r="3258" s="13" customFormat="1" x14ac:dyDescent="0.35"/>
    <row r="3259" s="13" customFormat="1" x14ac:dyDescent="0.35"/>
    <row r="3260" s="13" customFormat="1" x14ac:dyDescent="0.35"/>
    <row r="3261" s="13" customFormat="1" x14ac:dyDescent="0.35"/>
    <row r="3262" s="13" customFormat="1" x14ac:dyDescent="0.35"/>
    <row r="3263" s="13" customFormat="1" x14ac:dyDescent="0.35"/>
    <row r="3264" s="13" customFormat="1" x14ac:dyDescent="0.35"/>
    <row r="3265" s="13" customFormat="1" x14ac:dyDescent="0.35"/>
    <row r="3266" s="13" customFormat="1" x14ac:dyDescent="0.35"/>
    <row r="3267" s="13" customFormat="1" x14ac:dyDescent="0.35"/>
    <row r="3268" s="13" customFormat="1" x14ac:dyDescent="0.35"/>
    <row r="3269" s="13" customFormat="1" x14ac:dyDescent="0.35"/>
    <row r="3270" s="13" customFormat="1" x14ac:dyDescent="0.35"/>
    <row r="3271" s="13" customFormat="1" x14ac:dyDescent="0.35"/>
    <row r="3272" s="13" customFormat="1" x14ac:dyDescent="0.35"/>
    <row r="3273" s="13" customFormat="1" x14ac:dyDescent="0.35"/>
    <row r="3274" s="13" customFormat="1" x14ac:dyDescent="0.35"/>
    <row r="3275" s="13" customFormat="1" x14ac:dyDescent="0.35"/>
    <row r="3276" s="13" customFormat="1" x14ac:dyDescent="0.35"/>
    <row r="3277" s="13" customFormat="1" x14ac:dyDescent="0.35"/>
    <row r="3278" s="13" customFormat="1" x14ac:dyDescent="0.35"/>
    <row r="3279" s="13" customFormat="1" x14ac:dyDescent="0.35"/>
    <row r="3280" s="13" customFormat="1" x14ac:dyDescent="0.35"/>
    <row r="3281" s="13" customFormat="1" x14ac:dyDescent="0.35"/>
    <row r="3282" s="13" customFormat="1" x14ac:dyDescent="0.35"/>
    <row r="3283" s="13" customFormat="1" x14ac:dyDescent="0.35"/>
    <row r="3284" s="13" customFormat="1" x14ac:dyDescent="0.35"/>
    <row r="3285" s="13" customFormat="1" x14ac:dyDescent="0.35"/>
    <row r="3286" s="13" customFormat="1" x14ac:dyDescent="0.35"/>
    <row r="3287" s="13" customFormat="1" x14ac:dyDescent="0.35"/>
    <row r="3288" s="13" customFormat="1" x14ac:dyDescent="0.35"/>
    <row r="3289" s="13" customFormat="1" x14ac:dyDescent="0.35"/>
    <row r="3290" s="13" customFormat="1" x14ac:dyDescent="0.35"/>
    <row r="3291" s="13" customFormat="1" x14ac:dyDescent="0.35"/>
    <row r="3292" s="13" customFormat="1" x14ac:dyDescent="0.35"/>
    <row r="3293" s="13" customFormat="1" x14ac:dyDescent="0.35"/>
    <row r="3294" s="13" customFormat="1" x14ac:dyDescent="0.35"/>
    <row r="3295" s="13" customFormat="1" x14ac:dyDescent="0.35"/>
    <row r="3296" s="13" customFormat="1" x14ac:dyDescent="0.35"/>
    <row r="3297" s="13" customFormat="1" x14ac:dyDescent="0.35"/>
    <row r="3298" s="13" customFormat="1" x14ac:dyDescent="0.35"/>
    <row r="3299" s="13" customFormat="1" x14ac:dyDescent="0.35"/>
    <row r="3300" s="13" customFormat="1" x14ac:dyDescent="0.35"/>
    <row r="3301" s="13" customFormat="1" x14ac:dyDescent="0.35"/>
    <row r="3302" s="13" customFormat="1" x14ac:dyDescent="0.35"/>
    <row r="3303" s="13" customFormat="1" x14ac:dyDescent="0.35"/>
    <row r="3304" s="13" customFormat="1" x14ac:dyDescent="0.35"/>
    <row r="3305" s="13" customFormat="1" x14ac:dyDescent="0.35"/>
    <row r="3306" s="13" customFormat="1" x14ac:dyDescent="0.35"/>
    <row r="3307" s="13" customFormat="1" x14ac:dyDescent="0.35"/>
    <row r="3308" s="13" customFormat="1" x14ac:dyDescent="0.35"/>
    <row r="3309" s="13" customFormat="1" x14ac:dyDescent="0.35"/>
    <row r="3310" s="13" customFormat="1" x14ac:dyDescent="0.35"/>
    <row r="3311" s="13" customFormat="1" x14ac:dyDescent="0.35"/>
    <row r="3312" s="13" customFormat="1" x14ac:dyDescent="0.35"/>
    <row r="3313" s="13" customFormat="1" x14ac:dyDescent="0.35"/>
    <row r="3314" s="13" customFormat="1" x14ac:dyDescent="0.35"/>
    <row r="3315" s="13" customFormat="1" x14ac:dyDescent="0.35"/>
    <row r="3316" s="13" customFormat="1" x14ac:dyDescent="0.35"/>
    <row r="3317" s="13" customFormat="1" x14ac:dyDescent="0.35"/>
    <row r="3318" s="13" customFormat="1" x14ac:dyDescent="0.35"/>
    <row r="3319" s="13" customFormat="1" x14ac:dyDescent="0.35"/>
    <row r="3320" s="13" customFormat="1" x14ac:dyDescent="0.35"/>
    <row r="3321" s="13" customFormat="1" x14ac:dyDescent="0.35"/>
    <row r="3322" s="13" customFormat="1" x14ac:dyDescent="0.35"/>
    <row r="3323" s="13" customFormat="1" x14ac:dyDescent="0.35"/>
    <row r="3324" s="13" customFormat="1" x14ac:dyDescent="0.35"/>
    <row r="3325" s="13" customFormat="1" x14ac:dyDescent="0.35"/>
    <row r="3326" s="13" customFormat="1" x14ac:dyDescent="0.35"/>
    <row r="3327" s="13" customFormat="1" x14ac:dyDescent="0.35"/>
    <row r="3328" s="13" customFormat="1" x14ac:dyDescent="0.35"/>
    <row r="3329" s="13" customFormat="1" x14ac:dyDescent="0.35"/>
    <row r="3330" s="13" customFormat="1" x14ac:dyDescent="0.35"/>
    <row r="3331" s="13" customFormat="1" x14ac:dyDescent="0.35"/>
    <row r="3332" s="13" customFormat="1" x14ac:dyDescent="0.35"/>
    <row r="3333" s="13" customFormat="1" x14ac:dyDescent="0.35"/>
    <row r="3334" s="13" customFormat="1" x14ac:dyDescent="0.35"/>
    <row r="3335" s="13" customFormat="1" x14ac:dyDescent="0.35"/>
    <row r="3336" s="13" customFormat="1" x14ac:dyDescent="0.35"/>
    <row r="3337" s="13" customFormat="1" x14ac:dyDescent="0.35"/>
    <row r="3338" s="13" customFormat="1" x14ac:dyDescent="0.35"/>
    <row r="3339" s="13" customFormat="1" x14ac:dyDescent="0.35"/>
    <row r="3340" s="13" customFormat="1" x14ac:dyDescent="0.35"/>
    <row r="3341" s="13" customFormat="1" x14ac:dyDescent="0.35"/>
    <row r="3342" s="13" customFormat="1" x14ac:dyDescent="0.35"/>
    <row r="3343" s="13" customFormat="1" x14ac:dyDescent="0.35"/>
    <row r="3344" s="13" customFormat="1" x14ac:dyDescent="0.35"/>
    <row r="3345" s="13" customFormat="1" x14ac:dyDescent="0.35"/>
    <row r="3346" s="13" customFormat="1" x14ac:dyDescent="0.35"/>
    <row r="3347" s="13" customFormat="1" x14ac:dyDescent="0.35"/>
    <row r="3348" s="13" customFormat="1" x14ac:dyDescent="0.35"/>
    <row r="3349" s="13" customFormat="1" x14ac:dyDescent="0.35"/>
    <row r="3350" s="13" customFormat="1" x14ac:dyDescent="0.35"/>
    <row r="3351" s="13" customFormat="1" x14ac:dyDescent="0.35"/>
    <row r="3352" s="13" customFormat="1" x14ac:dyDescent="0.35"/>
    <row r="3353" s="13" customFormat="1" x14ac:dyDescent="0.35"/>
    <row r="3354" s="13" customFormat="1" x14ac:dyDescent="0.35"/>
    <row r="3355" s="13" customFormat="1" x14ac:dyDescent="0.35"/>
    <row r="3356" s="13" customFormat="1" x14ac:dyDescent="0.35"/>
    <row r="3357" s="13" customFormat="1" x14ac:dyDescent="0.35"/>
    <row r="3358" s="13" customFormat="1" x14ac:dyDescent="0.35"/>
    <row r="3359" s="13" customFormat="1" x14ac:dyDescent="0.35"/>
    <row r="3360" s="13" customFormat="1" x14ac:dyDescent="0.35"/>
    <row r="3361" s="13" customFormat="1" x14ac:dyDescent="0.35"/>
    <row r="3362" s="13" customFormat="1" x14ac:dyDescent="0.35"/>
    <row r="3363" s="13" customFormat="1" x14ac:dyDescent="0.35"/>
    <row r="3364" s="13" customFormat="1" x14ac:dyDescent="0.35"/>
    <row r="3365" s="13" customFormat="1" x14ac:dyDescent="0.35"/>
    <row r="3366" s="13" customFormat="1" x14ac:dyDescent="0.35"/>
    <row r="3367" s="13" customFormat="1" x14ac:dyDescent="0.35"/>
    <row r="3368" s="13" customFormat="1" x14ac:dyDescent="0.35"/>
    <row r="3369" s="13" customFormat="1" x14ac:dyDescent="0.35"/>
    <row r="3370" s="13" customFormat="1" x14ac:dyDescent="0.35"/>
    <row r="3371" s="13" customFormat="1" x14ac:dyDescent="0.35"/>
    <row r="3372" s="13" customFormat="1" x14ac:dyDescent="0.35"/>
    <row r="3373" s="13" customFormat="1" x14ac:dyDescent="0.35"/>
    <row r="3374" s="13" customFormat="1" x14ac:dyDescent="0.35"/>
    <row r="3375" s="13" customFormat="1" x14ac:dyDescent="0.35"/>
    <row r="3376" s="13" customFormat="1" x14ac:dyDescent="0.35"/>
    <row r="3377" s="13" customFormat="1" x14ac:dyDescent="0.35"/>
    <row r="3378" s="13" customFormat="1" x14ac:dyDescent="0.35"/>
    <row r="3379" s="13" customFormat="1" x14ac:dyDescent="0.35"/>
    <row r="3380" s="13" customFormat="1" x14ac:dyDescent="0.35"/>
    <row r="3381" s="13" customFormat="1" x14ac:dyDescent="0.35"/>
    <row r="3382" s="13" customFormat="1" x14ac:dyDescent="0.35"/>
    <row r="3383" s="13" customFormat="1" x14ac:dyDescent="0.35"/>
    <row r="3384" s="13" customFormat="1" x14ac:dyDescent="0.35"/>
    <row r="3385" s="13" customFormat="1" x14ac:dyDescent="0.35"/>
    <row r="3386" s="13" customFormat="1" x14ac:dyDescent="0.35"/>
    <row r="3387" s="13" customFormat="1" x14ac:dyDescent="0.35"/>
    <row r="3388" s="13" customFormat="1" x14ac:dyDescent="0.35"/>
    <row r="3389" s="13" customFormat="1" x14ac:dyDescent="0.35"/>
    <row r="3390" s="13" customFormat="1" x14ac:dyDescent="0.35"/>
    <row r="3391" s="13" customFormat="1" x14ac:dyDescent="0.35"/>
    <row r="3392" s="13" customFormat="1" x14ac:dyDescent="0.35"/>
    <row r="3393" s="13" customFormat="1" x14ac:dyDescent="0.35"/>
    <row r="3394" s="13" customFormat="1" x14ac:dyDescent="0.35"/>
    <row r="3395" s="13" customFormat="1" x14ac:dyDescent="0.35"/>
    <row r="3396" s="13" customFormat="1" x14ac:dyDescent="0.35"/>
    <row r="3397" s="13" customFormat="1" x14ac:dyDescent="0.35"/>
    <row r="3398" s="13" customFormat="1" x14ac:dyDescent="0.35"/>
    <row r="3399" s="13" customFormat="1" x14ac:dyDescent="0.35"/>
    <row r="3400" s="13" customFormat="1" x14ac:dyDescent="0.35"/>
    <row r="3401" s="13" customFormat="1" x14ac:dyDescent="0.35"/>
    <row r="3402" s="13" customFormat="1" x14ac:dyDescent="0.35"/>
    <row r="3403" s="13" customFormat="1" x14ac:dyDescent="0.35"/>
    <row r="3404" s="13" customFormat="1" x14ac:dyDescent="0.35"/>
    <row r="3405" s="13" customFormat="1" x14ac:dyDescent="0.35"/>
    <row r="3406" s="13" customFormat="1" x14ac:dyDescent="0.35"/>
    <row r="3407" s="13" customFormat="1" x14ac:dyDescent="0.35"/>
    <row r="3408" s="13" customFormat="1" x14ac:dyDescent="0.35"/>
    <row r="3409" s="13" customFormat="1" x14ac:dyDescent="0.35"/>
    <row r="3410" s="13" customFormat="1" x14ac:dyDescent="0.35"/>
    <row r="3411" s="13" customFormat="1" x14ac:dyDescent="0.35"/>
    <row r="3412" s="13" customFormat="1" x14ac:dyDescent="0.35"/>
    <row r="3413" s="13" customFormat="1" x14ac:dyDescent="0.35"/>
    <row r="3414" s="13" customFormat="1" x14ac:dyDescent="0.35"/>
    <row r="3415" s="13" customFormat="1" x14ac:dyDescent="0.35"/>
    <row r="3416" s="13" customFormat="1" x14ac:dyDescent="0.35"/>
    <row r="3417" s="13" customFormat="1" x14ac:dyDescent="0.35"/>
    <row r="3418" s="13" customFormat="1" x14ac:dyDescent="0.35"/>
    <row r="3419" s="13" customFormat="1" x14ac:dyDescent="0.35"/>
    <row r="3420" s="13" customFormat="1" x14ac:dyDescent="0.35"/>
    <row r="3421" s="13" customFormat="1" x14ac:dyDescent="0.35"/>
    <row r="3422" s="13" customFormat="1" x14ac:dyDescent="0.35"/>
    <row r="3423" s="13" customFormat="1" x14ac:dyDescent="0.35"/>
    <row r="3424" s="13" customFormat="1" x14ac:dyDescent="0.35"/>
    <row r="3425" s="13" customFormat="1" x14ac:dyDescent="0.35"/>
    <row r="3426" s="13" customFormat="1" x14ac:dyDescent="0.35"/>
    <row r="3427" s="13" customFormat="1" x14ac:dyDescent="0.35"/>
    <row r="3428" s="13" customFormat="1" x14ac:dyDescent="0.35"/>
    <row r="3429" s="13" customFormat="1" x14ac:dyDescent="0.35"/>
    <row r="3430" s="13" customFormat="1" x14ac:dyDescent="0.35"/>
    <row r="3431" s="13" customFormat="1" x14ac:dyDescent="0.35"/>
    <row r="3432" s="13" customFormat="1" x14ac:dyDescent="0.35"/>
    <row r="3433" s="13" customFormat="1" x14ac:dyDescent="0.35"/>
    <row r="3434" s="13" customFormat="1" x14ac:dyDescent="0.35"/>
    <row r="3435" s="13" customFormat="1" x14ac:dyDescent="0.35"/>
    <row r="3436" s="13" customFormat="1" x14ac:dyDescent="0.35"/>
    <row r="3437" s="13" customFormat="1" x14ac:dyDescent="0.35"/>
    <row r="3438" s="13" customFormat="1" x14ac:dyDescent="0.35"/>
    <row r="3439" s="13" customFormat="1" x14ac:dyDescent="0.35"/>
    <row r="3440" s="13" customFormat="1" x14ac:dyDescent="0.35"/>
    <row r="3441" s="13" customFormat="1" x14ac:dyDescent="0.35"/>
    <row r="3442" s="13" customFormat="1" x14ac:dyDescent="0.35"/>
    <row r="3443" s="13" customFormat="1" x14ac:dyDescent="0.35"/>
    <row r="3444" s="13" customFormat="1" x14ac:dyDescent="0.35"/>
    <row r="3445" s="13" customFormat="1" x14ac:dyDescent="0.35"/>
    <row r="3446" s="13" customFormat="1" x14ac:dyDescent="0.35"/>
    <row r="3447" s="13" customFormat="1" x14ac:dyDescent="0.35"/>
    <row r="3448" s="13" customFormat="1" x14ac:dyDescent="0.35"/>
    <row r="3449" s="13" customFormat="1" x14ac:dyDescent="0.35"/>
    <row r="3450" s="13" customFormat="1" x14ac:dyDescent="0.35"/>
    <row r="3451" s="13" customFormat="1" x14ac:dyDescent="0.35"/>
    <row r="3452" s="13" customFormat="1" x14ac:dyDescent="0.35"/>
    <row r="3453" s="13" customFormat="1" x14ac:dyDescent="0.35"/>
    <row r="3454" s="13" customFormat="1" x14ac:dyDescent="0.35"/>
    <row r="3455" s="13" customFormat="1" x14ac:dyDescent="0.35"/>
    <row r="3456" s="13" customFormat="1" x14ac:dyDescent="0.35"/>
    <row r="3457" s="13" customFormat="1" x14ac:dyDescent="0.35"/>
    <row r="3458" s="13" customFormat="1" x14ac:dyDescent="0.35"/>
    <row r="3459" s="13" customFormat="1" x14ac:dyDescent="0.35"/>
    <row r="3460" s="13" customFormat="1" x14ac:dyDescent="0.35"/>
    <row r="3461" s="13" customFormat="1" x14ac:dyDescent="0.35"/>
    <row r="3462" s="13" customFormat="1" x14ac:dyDescent="0.35"/>
    <row r="3463" s="13" customFormat="1" x14ac:dyDescent="0.35"/>
    <row r="3464" s="13" customFormat="1" x14ac:dyDescent="0.35"/>
    <row r="3465" s="13" customFormat="1" x14ac:dyDescent="0.35"/>
    <row r="3466" s="13" customFormat="1" x14ac:dyDescent="0.35"/>
    <row r="3467" s="13" customFormat="1" x14ac:dyDescent="0.35"/>
    <row r="3468" s="13" customFormat="1" x14ac:dyDescent="0.35"/>
    <row r="3469" s="13" customFormat="1" x14ac:dyDescent="0.35"/>
    <row r="3470" s="13" customFormat="1" x14ac:dyDescent="0.35"/>
    <row r="3471" s="13" customFormat="1" x14ac:dyDescent="0.35"/>
    <row r="3472" s="13" customFormat="1" x14ac:dyDescent="0.35"/>
    <row r="3473" s="13" customFormat="1" x14ac:dyDescent="0.35"/>
    <row r="3474" s="13" customFormat="1" x14ac:dyDescent="0.35"/>
    <row r="3475" s="13" customFormat="1" x14ac:dyDescent="0.35"/>
    <row r="3476" s="13" customFormat="1" x14ac:dyDescent="0.35"/>
    <row r="3477" s="13" customFormat="1" x14ac:dyDescent="0.35"/>
    <row r="3478" s="13" customFormat="1" x14ac:dyDescent="0.35"/>
    <row r="3479" s="13" customFormat="1" x14ac:dyDescent="0.35"/>
    <row r="3480" s="13" customFormat="1" x14ac:dyDescent="0.35"/>
    <row r="3481" s="13" customFormat="1" x14ac:dyDescent="0.35"/>
    <row r="3482" s="13" customFormat="1" x14ac:dyDescent="0.35"/>
    <row r="3483" s="13" customFormat="1" x14ac:dyDescent="0.35"/>
    <row r="3484" s="13" customFormat="1" x14ac:dyDescent="0.35"/>
    <row r="3485" s="13" customFormat="1" x14ac:dyDescent="0.35"/>
    <row r="3486" s="13" customFormat="1" x14ac:dyDescent="0.35"/>
    <row r="3487" s="13" customFormat="1" x14ac:dyDescent="0.35"/>
    <row r="3488" s="13" customFormat="1" x14ac:dyDescent="0.35"/>
    <row r="3489" s="13" customFormat="1" x14ac:dyDescent="0.35"/>
    <row r="3490" s="13" customFormat="1" x14ac:dyDescent="0.35"/>
    <row r="3491" s="13" customFormat="1" x14ac:dyDescent="0.35"/>
    <row r="3492" s="13" customFormat="1" x14ac:dyDescent="0.35"/>
    <row r="3493" s="13" customFormat="1" x14ac:dyDescent="0.35"/>
    <row r="3494" s="13" customFormat="1" x14ac:dyDescent="0.35"/>
    <row r="3495" s="13" customFormat="1" x14ac:dyDescent="0.35"/>
    <row r="3496" s="13" customFormat="1" x14ac:dyDescent="0.35"/>
    <row r="3497" s="13" customFormat="1" x14ac:dyDescent="0.35"/>
    <row r="3498" s="13" customFormat="1" x14ac:dyDescent="0.35"/>
    <row r="3499" s="13" customFormat="1" x14ac:dyDescent="0.35"/>
    <row r="3500" s="13" customFormat="1" x14ac:dyDescent="0.35"/>
    <row r="3501" s="13" customFormat="1" x14ac:dyDescent="0.35"/>
    <row r="3502" s="13" customFormat="1" x14ac:dyDescent="0.35"/>
    <row r="3503" s="13" customFormat="1" x14ac:dyDescent="0.35"/>
    <row r="3504" s="13" customFormat="1" x14ac:dyDescent="0.35"/>
    <row r="3505" s="13" customFormat="1" x14ac:dyDescent="0.35"/>
    <row r="3506" s="13" customFormat="1" x14ac:dyDescent="0.35"/>
    <row r="3507" s="13" customFormat="1" x14ac:dyDescent="0.35"/>
    <row r="3508" s="13" customFormat="1" x14ac:dyDescent="0.35"/>
    <row r="3509" s="13" customFormat="1" x14ac:dyDescent="0.35"/>
    <row r="3510" s="13" customFormat="1" x14ac:dyDescent="0.35"/>
    <row r="3511" s="13" customFormat="1" x14ac:dyDescent="0.35"/>
    <row r="3512" s="13" customFormat="1" x14ac:dyDescent="0.35"/>
    <row r="3513" s="13" customFormat="1" x14ac:dyDescent="0.35"/>
    <row r="3514" s="13" customFormat="1" x14ac:dyDescent="0.35"/>
    <row r="3515" s="13" customFormat="1" x14ac:dyDescent="0.35"/>
    <row r="3516" s="13" customFormat="1" x14ac:dyDescent="0.35"/>
    <row r="3517" s="13" customFormat="1" x14ac:dyDescent="0.35"/>
    <row r="3518" s="13" customFormat="1" x14ac:dyDescent="0.35"/>
    <row r="3519" s="13" customFormat="1" x14ac:dyDescent="0.35"/>
    <row r="3520" s="13" customFormat="1" x14ac:dyDescent="0.35"/>
    <row r="3521" s="13" customFormat="1" x14ac:dyDescent="0.35"/>
    <row r="3522" s="13" customFormat="1" x14ac:dyDescent="0.35"/>
    <row r="3523" s="13" customFormat="1" x14ac:dyDescent="0.35"/>
    <row r="3524" s="13" customFormat="1" x14ac:dyDescent="0.35"/>
    <row r="3525" s="13" customFormat="1" x14ac:dyDescent="0.35"/>
    <row r="3526" s="13" customFormat="1" x14ac:dyDescent="0.35"/>
    <row r="3527" s="13" customFormat="1" x14ac:dyDescent="0.35"/>
    <row r="3528" s="13" customFormat="1" x14ac:dyDescent="0.35"/>
    <row r="3529" s="13" customFormat="1" x14ac:dyDescent="0.35"/>
    <row r="3530" s="13" customFormat="1" x14ac:dyDescent="0.35"/>
    <row r="3531" s="13" customFormat="1" x14ac:dyDescent="0.35"/>
    <row r="3532" s="13" customFormat="1" x14ac:dyDescent="0.35"/>
    <row r="3533" s="13" customFormat="1" x14ac:dyDescent="0.35"/>
    <row r="3534" s="13" customFormat="1" x14ac:dyDescent="0.35"/>
    <row r="3535" s="13" customFormat="1" x14ac:dyDescent="0.35"/>
    <row r="3536" s="13" customFormat="1" x14ac:dyDescent="0.35"/>
    <row r="3537" s="13" customFormat="1" x14ac:dyDescent="0.35"/>
    <row r="3538" s="13" customFormat="1" x14ac:dyDescent="0.35"/>
    <row r="3539" s="13" customFormat="1" x14ac:dyDescent="0.35"/>
    <row r="3540" s="13" customFormat="1" x14ac:dyDescent="0.35"/>
    <row r="3541" s="13" customFormat="1" x14ac:dyDescent="0.35"/>
    <row r="3542" s="13" customFormat="1" x14ac:dyDescent="0.35"/>
    <row r="3543" s="13" customFormat="1" x14ac:dyDescent="0.35"/>
    <row r="3544" s="13" customFormat="1" x14ac:dyDescent="0.35"/>
    <row r="3545" s="13" customFormat="1" x14ac:dyDescent="0.35"/>
    <row r="3546" s="13" customFormat="1" x14ac:dyDescent="0.35"/>
    <row r="3547" s="13" customFormat="1" x14ac:dyDescent="0.35"/>
    <row r="3548" s="13" customFormat="1" x14ac:dyDescent="0.35"/>
    <row r="3549" s="13" customFormat="1" x14ac:dyDescent="0.35"/>
    <row r="3550" s="13" customFormat="1" x14ac:dyDescent="0.35"/>
    <row r="3551" s="13" customFormat="1" x14ac:dyDescent="0.35"/>
    <row r="3552" s="13" customFormat="1" x14ac:dyDescent="0.35"/>
    <row r="3553" s="13" customFormat="1" x14ac:dyDescent="0.35"/>
    <row r="3554" s="13" customFormat="1" x14ac:dyDescent="0.35"/>
    <row r="3555" s="13" customFormat="1" x14ac:dyDescent="0.35"/>
    <row r="3556" s="13" customFormat="1" x14ac:dyDescent="0.35"/>
    <row r="3557" s="13" customFormat="1" x14ac:dyDescent="0.35"/>
    <row r="3558" s="13" customFormat="1" x14ac:dyDescent="0.35"/>
    <row r="3559" s="13" customFormat="1" x14ac:dyDescent="0.35"/>
    <row r="3560" s="13" customFormat="1" x14ac:dyDescent="0.35"/>
    <row r="3561" s="13" customFormat="1" x14ac:dyDescent="0.35"/>
    <row r="3562" s="13" customFormat="1" x14ac:dyDescent="0.35"/>
    <row r="3563" s="13" customFormat="1" x14ac:dyDescent="0.35"/>
    <row r="3564" s="13" customFormat="1" x14ac:dyDescent="0.35"/>
    <row r="3565" s="13" customFormat="1" x14ac:dyDescent="0.35"/>
    <row r="3566" s="13" customFormat="1" x14ac:dyDescent="0.35"/>
    <row r="3567" s="13" customFormat="1" x14ac:dyDescent="0.35"/>
    <row r="3568" s="13" customFormat="1" x14ac:dyDescent="0.35"/>
    <row r="3569" s="13" customFormat="1" x14ac:dyDescent="0.35"/>
    <row r="3570" s="13" customFormat="1" x14ac:dyDescent="0.35"/>
    <row r="3571" s="13" customFormat="1" x14ac:dyDescent="0.35"/>
    <row r="3572" s="13" customFormat="1" x14ac:dyDescent="0.35"/>
    <row r="3573" s="13" customFormat="1" x14ac:dyDescent="0.35"/>
    <row r="3574" s="13" customFormat="1" x14ac:dyDescent="0.35"/>
    <row r="3575" s="13" customFormat="1" x14ac:dyDescent="0.35"/>
    <row r="3576" s="13" customFormat="1" x14ac:dyDescent="0.35"/>
    <row r="3577" s="13" customFormat="1" x14ac:dyDescent="0.35"/>
    <row r="3578" s="13" customFormat="1" x14ac:dyDescent="0.35"/>
    <row r="3579" s="13" customFormat="1" x14ac:dyDescent="0.35"/>
    <row r="3580" s="13" customFormat="1" x14ac:dyDescent="0.35"/>
    <row r="3581" s="13" customFormat="1" x14ac:dyDescent="0.35"/>
    <row r="3582" s="13" customFormat="1" x14ac:dyDescent="0.35"/>
    <row r="3583" s="13" customFormat="1" x14ac:dyDescent="0.35"/>
    <row r="3584" s="13" customFormat="1" x14ac:dyDescent="0.35"/>
    <row r="3585" s="13" customFormat="1" x14ac:dyDescent="0.35"/>
    <row r="3586" s="13" customFormat="1" x14ac:dyDescent="0.35"/>
    <row r="3587" s="13" customFormat="1" x14ac:dyDescent="0.35"/>
    <row r="3588" s="13" customFormat="1" x14ac:dyDescent="0.35"/>
    <row r="3589" s="13" customFormat="1" x14ac:dyDescent="0.35"/>
    <row r="3590" s="13" customFormat="1" x14ac:dyDescent="0.35"/>
    <row r="3591" s="13" customFormat="1" x14ac:dyDescent="0.35"/>
    <row r="3592" s="13" customFormat="1" x14ac:dyDescent="0.35"/>
    <row r="3593" s="13" customFormat="1" x14ac:dyDescent="0.35"/>
    <row r="3594" s="13" customFormat="1" x14ac:dyDescent="0.35"/>
    <row r="3595" s="13" customFormat="1" x14ac:dyDescent="0.35"/>
    <row r="3596" s="13" customFormat="1" x14ac:dyDescent="0.35"/>
    <row r="3597" s="13" customFormat="1" x14ac:dyDescent="0.35"/>
    <row r="3598" s="13" customFormat="1" x14ac:dyDescent="0.35"/>
    <row r="3599" s="13" customFormat="1" x14ac:dyDescent="0.35"/>
    <row r="3600" s="13" customFormat="1" x14ac:dyDescent="0.35"/>
    <row r="3601" s="13" customFormat="1" x14ac:dyDescent="0.35"/>
    <row r="3602" s="13" customFormat="1" x14ac:dyDescent="0.35"/>
    <row r="3603" s="13" customFormat="1" x14ac:dyDescent="0.35"/>
    <row r="3604" s="13" customFormat="1" x14ac:dyDescent="0.35"/>
    <row r="3605" s="13" customFormat="1" x14ac:dyDescent="0.35"/>
    <row r="3606" s="13" customFormat="1" x14ac:dyDescent="0.35"/>
    <row r="3607" s="13" customFormat="1" x14ac:dyDescent="0.35"/>
    <row r="3608" s="13" customFormat="1" x14ac:dyDescent="0.35"/>
    <row r="3609" s="13" customFormat="1" x14ac:dyDescent="0.35"/>
    <row r="3610" s="13" customFormat="1" x14ac:dyDescent="0.35"/>
    <row r="3611" s="13" customFormat="1" x14ac:dyDescent="0.35"/>
    <row r="3612" s="13" customFormat="1" x14ac:dyDescent="0.35"/>
    <row r="3613" s="13" customFormat="1" x14ac:dyDescent="0.35"/>
    <row r="3614" s="13" customFormat="1" x14ac:dyDescent="0.35"/>
    <row r="3615" s="13" customFormat="1" x14ac:dyDescent="0.35"/>
    <row r="3616" s="13" customFormat="1" x14ac:dyDescent="0.35"/>
    <row r="3617" s="13" customFormat="1" x14ac:dyDescent="0.35"/>
    <row r="3618" s="13" customFormat="1" x14ac:dyDescent="0.35"/>
    <row r="3619" s="13" customFormat="1" x14ac:dyDescent="0.35"/>
    <row r="3620" s="13" customFormat="1" x14ac:dyDescent="0.35"/>
    <row r="3621" s="13" customFormat="1" x14ac:dyDescent="0.35"/>
    <row r="3622" s="13" customFormat="1" x14ac:dyDescent="0.35"/>
    <row r="3623" s="13" customFormat="1" x14ac:dyDescent="0.35"/>
    <row r="3624" s="13" customFormat="1" x14ac:dyDescent="0.35"/>
    <row r="3625" s="13" customFormat="1" x14ac:dyDescent="0.35"/>
    <row r="3626" s="13" customFormat="1" x14ac:dyDescent="0.35"/>
    <row r="3627" s="13" customFormat="1" x14ac:dyDescent="0.35"/>
    <row r="3628" s="13" customFormat="1" x14ac:dyDescent="0.35"/>
    <row r="3629" s="13" customFormat="1" x14ac:dyDescent="0.35"/>
    <row r="3630" s="13" customFormat="1" x14ac:dyDescent="0.35"/>
    <row r="3631" s="13" customFormat="1" x14ac:dyDescent="0.35"/>
    <row r="3632" s="13" customFormat="1" x14ac:dyDescent="0.35"/>
    <row r="3633" s="13" customFormat="1" x14ac:dyDescent="0.35"/>
    <row r="3634" s="13" customFormat="1" x14ac:dyDescent="0.35"/>
    <row r="3635" s="13" customFormat="1" x14ac:dyDescent="0.35"/>
    <row r="3636" s="13" customFormat="1" x14ac:dyDescent="0.35"/>
    <row r="3637" s="13" customFormat="1" x14ac:dyDescent="0.35"/>
    <row r="3638" s="13" customFormat="1" x14ac:dyDescent="0.35"/>
    <row r="3639" s="13" customFormat="1" x14ac:dyDescent="0.35"/>
    <row r="3640" s="13" customFormat="1" x14ac:dyDescent="0.35"/>
    <row r="3641" s="13" customFormat="1" x14ac:dyDescent="0.35"/>
    <row r="3642" s="13" customFormat="1" x14ac:dyDescent="0.35"/>
    <row r="3643" s="13" customFormat="1" x14ac:dyDescent="0.35"/>
    <row r="3644" s="13" customFormat="1" x14ac:dyDescent="0.35"/>
    <row r="3645" s="13" customFormat="1" x14ac:dyDescent="0.35"/>
    <row r="3646" s="13" customFormat="1" x14ac:dyDescent="0.35"/>
    <row r="3647" s="13" customFormat="1" x14ac:dyDescent="0.35"/>
    <row r="3648" s="13" customFormat="1" x14ac:dyDescent="0.35"/>
    <row r="3649" s="13" customFormat="1" x14ac:dyDescent="0.35"/>
    <row r="3650" s="13" customFormat="1" x14ac:dyDescent="0.35"/>
    <row r="3651" s="13" customFormat="1" x14ac:dyDescent="0.35"/>
    <row r="3652" s="13" customFormat="1" x14ac:dyDescent="0.35"/>
    <row r="3653" s="13" customFormat="1" x14ac:dyDescent="0.35"/>
    <row r="3654" s="13" customFormat="1" x14ac:dyDescent="0.35"/>
    <row r="3655" s="13" customFormat="1" x14ac:dyDescent="0.35"/>
    <row r="3656" s="13" customFormat="1" x14ac:dyDescent="0.35"/>
    <row r="3657" s="13" customFormat="1" x14ac:dyDescent="0.35"/>
    <row r="3658" s="13" customFormat="1" x14ac:dyDescent="0.35"/>
    <row r="3659" s="13" customFormat="1" x14ac:dyDescent="0.35"/>
    <row r="3660" s="13" customFormat="1" x14ac:dyDescent="0.35"/>
    <row r="3661" s="13" customFormat="1" x14ac:dyDescent="0.35"/>
    <row r="3662" s="13" customFormat="1" x14ac:dyDescent="0.35"/>
    <row r="3663" s="13" customFormat="1" x14ac:dyDescent="0.35"/>
    <row r="3664" s="13" customFormat="1" x14ac:dyDescent="0.35"/>
    <row r="3665" s="13" customFormat="1" x14ac:dyDescent="0.35"/>
    <row r="3666" s="13" customFormat="1" x14ac:dyDescent="0.35"/>
    <row r="3667" s="13" customFormat="1" x14ac:dyDescent="0.35"/>
    <row r="3668" s="13" customFormat="1" x14ac:dyDescent="0.35"/>
    <row r="3669" s="13" customFormat="1" x14ac:dyDescent="0.35"/>
    <row r="3670" s="13" customFormat="1" x14ac:dyDescent="0.35"/>
    <row r="3671" s="13" customFormat="1" x14ac:dyDescent="0.35"/>
    <row r="3672" s="13" customFormat="1" x14ac:dyDescent="0.35"/>
    <row r="3673" s="13" customFormat="1" x14ac:dyDescent="0.35"/>
    <row r="3674" s="13" customFormat="1" x14ac:dyDescent="0.35"/>
    <row r="3675" s="13" customFormat="1" x14ac:dyDescent="0.35"/>
    <row r="3676" s="13" customFormat="1" x14ac:dyDescent="0.35"/>
    <row r="3677" s="13" customFormat="1" x14ac:dyDescent="0.35"/>
    <row r="3678" s="13" customFormat="1" x14ac:dyDescent="0.35"/>
    <row r="3679" s="13" customFormat="1" x14ac:dyDescent="0.35"/>
    <row r="3680" s="13" customFormat="1" x14ac:dyDescent="0.35"/>
    <row r="3681" s="13" customFormat="1" x14ac:dyDescent="0.35"/>
    <row r="3682" s="13" customFormat="1" x14ac:dyDescent="0.35"/>
    <row r="3683" s="13" customFormat="1" x14ac:dyDescent="0.35"/>
    <row r="3684" s="13" customFormat="1" x14ac:dyDescent="0.35"/>
    <row r="3685" s="13" customFormat="1" x14ac:dyDescent="0.35"/>
    <row r="3686" s="13" customFormat="1" x14ac:dyDescent="0.35"/>
    <row r="3687" s="13" customFormat="1" x14ac:dyDescent="0.35"/>
    <row r="3688" s="13" customFormat="1" x14ac:dyDescent="0.35"/>
    <row r="3689" s="13" customFormat="1" x14ac:dyDescent="0.35"/>
    <row r="3690" s="13" customFormat="1" x14ac:dyDescent="0.35"/>
    <row r="3691" s="13" customFormat="1" x14ac:dyDescent="0.35"/>
    <row r="3692" s="13" customFormat="1" x14ac:dyDescent="0.35"/>
    <row r="3693" s="13" customFormat="1" x14ac:dyDescent="0.35"/>
    <row r="3694" s="13" customFormat="1" x14ac:dyDescent="0.35"/>
    <row r="3695" s="13" customFormat="1" x14ac:dyDescent="0.35"/>
    <row r="3696" s="13" customFormat="1" x14ac:dyDescent="0.35"/>
    <row r="3697" s="13" customFormat="1" x14ac:dyDescent="0.35"/>
    <row r="3698" s="13" customFormat="1" x14ac:dyDescent="0.35"/>
    <row r="3699" s="13" customFormat="1" x14ac:dyDescent="0.35"/>
    <row r="3700" s="13" customFormat="1" x14ac:dyDescent="0.35"/>
    <row r="3701" s="13" customFormat="1" x14ac:dyDescent="0.35"/>
    <row r="3702" s="13" customFormat="1" x14ac:dyDescent="0.35"/>
    <row r="3703" s="13" customFormat="1" x14ac:dyDescent="0.35"/>
    <row r="3704" s="13" customFormat="1" x14ac:dyDescent="0.35"/>
    <row r="3705" s="13" customFormat="1" x14ac:dyDescent="0.35"/>
    <row r="3706" s="13" customFormat="1" x14ac:dyDescent="0.35"/>
    <row r="3707" s="13" customFormat="1" x14ac:dyDescent="0.35"/>
    <row r="3708" s="13" customFormat="1" x14ac:dyDescent="0.35"/>
    <row r="3709" s="13" customFormat="1" x14ac:dyDescent="0.35"/>
    <row r="3710" s="13" customFormat="1" x14ac:dyDescent="0.35"/>
    <row r="3711" s="13" customFormat="1" x14ac:dyDescent="0.35"/>
    <row r="3712" s="13" customFormat="1" x14ac:dyDescent="0.35"/>
    <row r="3713" s="13" customFormat="1" x14ac:dyDescent="0.35"/>
    <row r="3714" s="13" customFormat="1" x14ac:dyDescent="0.35"/>
    <row r="3715" s="13" customFormat="1" x14ac:dyDescent="0.35"/>
    <row r="3716" s="13" customFormat="1" x14ac:dyDescent="0.35"/>
    <row r="3717" s="13" customFormat="1" x14ac:dyDescent="0.35"/>
    <row r="3718" s="13" customFormat="1" x14ac:dyDescent="0.35"/>
    <row r="3719" s="13" customFormat="1" x14ac:dyDescent="0.35"/>
    <row r="3720" s="13" customFormat="1" x14ac:dyDescent="0.35"/>
    <row r="3721" s="13" customFormat="1" x14ac:dyDescent="0.35"/>
    <row r="3722" s="13" customFormat="1" x14ac:dyDescent="0.35"/>
    <row r="3723" s="13" customFormat="1" x14ac:dyDescent="0.35"/>
    <row r="3724" s="13" customFormat="1" x14ac:dyDescent="0.35"/>
    <row r="3725" s="13" customFormat="1" x14ac:dyDescent="0.35"/>
    <row r="3726" s="13" customFormat="1" x14ac:dyDescent="0.35"/>
    <row r="3727" s="13" customFormat="1" x14ac:dyDescent="0.35"/>
    <row r="3728" s="13" customFormat="1" x14ac:dyDescent="0.35"/>
    <row r="3729" s="13" customFormat="1" x14ac:dyDescent="0.35"/>
    <row r="3730" s="13" customFormat="1" x14ac:dyDescent="0.35"/>
    <row r="3731" s="13" customFormat="1" x14ac:dyDescent="0.35"/>
    <row r="3732" s="13" customFormat="1" x14ac:dyDescent="0.35"/>
    <row r="3733" s="13" customFormat="1" x14ac:dyDescent="0.35"/>
    <row r="3734" s="13" customFormat="1" x14ac:dyDescent="0.35"/>
    <row r="3735" s="13" customFormat="1" x14ac:dyDescent="0.35"/>
    <row r="3736" s="13" customFormat="1" x14ac:dyDescent="0.35"/>
    <row r="3737" s="13" customFormat="1" x14ac:dyDescent="0.35"/>
    <row r="3738" s="13" customFormat="1" x14ac:dyDescent="0.35"/>
    <row r="3739" s="13" customFormat="1" x14ac:dyDescent="0.35"/>
    <row r="3740" s="13" customFormat="1" x14ac:dyDescent="0.35"/>
    <row r="3741" s="13" customFormat="1" x14ac:dyDescent="0.35"/>
    <row r="3742" s="13" customFormat="1" x14ac:dyDescent="0.35"/>
    <row r="3743" s="13" customFormat="1" x14ac:dyDescent="0.35"/>
    <row r="3744" s="13" customFormat="1" x14ac:dyDescent="0.35"/>
    <row r="3745" s="13" customFormat="1" x14ac:dyDescent="0.35"/>
    <row r="3746" s="13" customFormat="1" x14ac:dyDescent="0.35"/>
    <row r="3747" s="13" customFormat="1" x14ac:dyDescent="0.35"/>
    <row r="3748" s="13" customFormat="1" x14ac:dyDescent="0.35"/>
    <row r="3749" s="13" customFormat="1" x14ac:dyDescent="0.35"/>
    <row r="3750" s="13" customFormat="1" x14ac:dyDescent="0.35"/>
    <row r="3751" s="13" customFormat="1" x14ac:dyDescent="0.35"/>
    <row r="3752" s="13" customFormat="1" x14ac:dyDescent="0.35"/>
    <row r="3753" s="13" customFormat="1" x14ac:dyDescent="0.35"/>
    <row r="3754" s="13" customFormat="1" x14ac:dyDescent="0.35"/>
    <row r="3755" s="13" customFormat="1" x14ac:dyDescent="0.35"/>
    <row r="3756" s="13" customFormat="1" x14ac:dyDescent="0.35"/>
    <row r="3757" s="13" customFormat="1" x14ac:dyDescent="0.35"/>
    <row r="3758" s="13" customFormat="1" x14ac:dyDescent="0.35"/>
    <row r="3759" s="13" customFormat="1" x14ac:dyDescent="0.35"/>
    <row r="3760" s="13" customFormat="1" x14ac:dyDescent="0.35"/>
    <row r="3761" s="13" customFormat="1" x14ac:dyDescent="0.35"/>
    <row r="3762" s="13" customFormat="1" x14ac:dyDescent="0.35"/>
    <row r="3763" s="13" customFormat="1" x14ac:dyDescent="0.35"/>
    <row r="3764" s="13" customFormat="1" x14ac:dyDescent="0.35"/>
    <row r="3765" s="13" customFormat="1" x14ac:dyDescent="0.35"/>
    <row r="3766" s="13" customFormat="1" x14ac:dyDescent="0.35"/>
    <row r="3767" s="13" customFormat="1" x14ac:dyDescent="0.35"/>
    <row r="3768" s="13" customFormat="1" x14ac:dyDescent="0.35"/>
    <row r="3769" s="13" customFormat="1" x14ac:dyDescent="0.35"/>
    <row r="3770" s="13" customFormat="1" x14ac:dyDescent="0.35"/>
    <row r="3771" s="13" customFormat="1" x14ac:dyDescent="0.35"/>
    <row r="3772" s="13" customFormat="1" x14ac:dyDescent="0.35"/>
    <row r="3773" s="13" customFormat="1" x14ac:dyDescent="0.35"/>
    <row r="3774" s="13" customFormat="1" x14ac:dyDescent="0.35"/>
    <row r="3775" s="13" customFormat="1" x14ac:dyDescent="0.35"/>
    <row r="3776" s="13" customFormat="1" x14ac:dyDescent="0.35"/>
    <row r="3777" s="13" customFormat="1" x14ac:dyDescent="0.35"/>
    <row r="3778" s="13" customFormat="1" x14ac:dyDescent="0.35"/>
    <row r="3779" s="13" customFormat="1" x14ac:dyDescent="0.35"/>
    <row r="3780" s="13" customFormat="1" x14ac:dyDescent="0.35"/>
    <row r="3781" s="13" customFormat="1" x14ac:dyDescent="0.35"/>
    <row r="3782" s="13" customFormat="1" x14ac:dyDescent="0.35"/>
    <row r="3783" s="13" customFormat="1" x14ac:dyDescent="0.35"/>
    <row r="3784" s="13" customFormat="1" x14ac:dyDescent="0.35"/>
    <row r="3785" s="13" customFormat="1" x14ac:dyDescent="0.35"/>
    <row r="3786" s="13" customFormat="1" x14ac:dyDescent="0.35"/>
    <row r="3787" s="13" customFormat="1" x14ac:dyDescent="0.35"/>
    <row r="3788" s="13" customFormat="1" x14ac:dyDescent="0.35"/>
    <row r="3789" s="13" customFormat="1" x14ac:dyDescent="0.35"/>
    <row r="3790" s="13" customFormat="1" x14ac:dyDescent="0.35"/>
    <row r="3791" s="13" customFormat="1" x14ac:dyDescent="0.35"/>
    <row r="3792" s="13" customFormat="1" x14ac:dyDescent="0.35"/>
    <row r="3793" s="13" customFormat="1" x14ac:dyDescent="0.35"/>
    <row r="3794" s="13" customFormat="1" x14ac:dyDescent="0.35"/>
    <row r="3795" s="13" customFormat="1" x14ac:dyDescent="0.35"/>
    <row r="3796" s="13" customFormat="1" x14ac:dyDescent="0.35"/>
    <row r="3797" s="13" customFormat="1" x14ac:dyDescent="0.35"/>
    <row r="3798" s="13" customFormat="1" x14ac:dyDescent="0.35"/>
    <row r="3799" s="13" customFormat="1" x14ac:dyDescent="0.35"/>
    <row r="3800" s="13" customFormat="1" x14ac:dyDescent="0.35"/>
    <row r="3801" s="13" customFormat="1" x14ac:dyDescent="0.35"/>
    <row r="3802" s="13" customFormat="1" x14ac:dyDescent="0.35"/>
    <row r="3803" s="13" customFormat="1" x14ac:dyDescent="0.35"/>
    <row r="3804" s="13" customFormat="1" x14ac:dyDescent="0.35"/>
    <row r="3805" s="13" customFormat="1" x14ac:dyDescent="0.35"/>
    <row r="3806" s="13" customFormat="1" x14ac:dyDescent="0.35"/>
    <row r="3807" s="13" customFormat="1" x14ac:dyDescent="0.35"/>
    <row r="3808" s="13" customFormat="1" x14ac:dyDescent="0.35"/>
    <row r="3809" s="13" customFormat="1" x14ac:dyDescent="0.35"/>
    <row r="3810" s="13" customFormat="1" x14ac:dyDescent="0.35"/>
    <row r="3811" s="13" customFormat="1" x14ac:dyDescent="0.35"/>
    <row r="3812" s="13" customFormat="1" x14ac:dyDescent="0.35"/>
    <row r="3813" s="13" customFormat="1" x14ac:dyDescent="0.35"/>
    <row r="3814" s="13" customFormat="1" x14ac:dyDescent="0.35"/>
    <row r="3815" s="13" customFormat="1" x14ac:dyDescent="0.35"/>
    <row r="3816" s="13" customFormat="1" x14ac:dyDescent="0.35"/>
    <row r="3817" s="13" customFormat="1" x14ac:dyDescent="0.35"/>
    <row r="3818" s="13" customFormat="1" x14ac:dyDescent="0.35"/>
    <row r="3819" s="13" customFormat="1" x14ac:dyDescent="0.35"/>
    <row r="3820" s="13" customFormat="1" x14ac:dyDescent="0.35"/>
    <row r="3821" s="13" customFormat="1" x14ac:dyDescent="0.35"/>
    <row r="3822" s="13" customFormat="1" x14ac:dyDescent="0.35"/>
    <row r="3823" s="13" customFormat="1" x14ac:dyDescent="0.35"/>
    <row r="3824" s="13" customFormat="1" x14ac:dyDescent="0.35"/>
    <row r="3825" s="13" customFormat="1" x14ac:dyDescent="0.35"/>
    <row r="3826" s="13" customFormat="1" x14ac:dyDescent="0.35"/>
    <row r="3827" s="13" customFormat="1" x14ac:dyDescent="0.35"/>
    <row r="3828" s="13" customFormat="1" x14ac:dyDescent="0.35"/>
    <row r="3829" s="13" customFormat="1" x14ac:dyDescent="0.35"/>
    <row r="3830" s="13" customFormat="1" x14ac:dyDescent="0.35"/>
    <row r="3831" s="13" customFormat="1" x14ac:dyDescent="0.35"/>
    <row r="3832" s="13" customFormat="1" x14ac:dyDescent="0.35"/>
    <row r="3833" s="13" customFormat="1" x14ac:dyDescent="0.35"/>
    <row r="3834" s="13" customFormat="1" x14ac:dyDescent="0.35"/>
    <row r="3835" s="13" customFormat="1" x14ac:dyDescent="0.35"/>
    <row r="3836" s="13" customFormat="1" x14ac:dyDescent="0.35"/>
    <row r="3837" s="13" customFormat="1" x14ac:dyDescent="0.35"/>
    <row r="3838" s="13" customFormat="1" x14ac:dyDescent="0.35"/>
    <row r="3839" s="13" customFormat="1" x14ac:dyDescent="0.35"/>
    <row r="3840" s="13" customFormat="1" x14ac:dyDescent="0.35"/>
    <row r="3841" s="13" customFormat="1" x14ac:dyDescent="0.35"/>
    <row r="3842" s="13" customFormat="1" x14ac:dyDescent="0.35"/>
    <row r="3843" s="13" customFormat="1" x14ac:dyDescent="0.35"/>
    <row r="3844" s="13" customFormat="1" x14ac:dyDescent="0.35"/>
    <row r="3845" s="13" customFormat="1" x14ac:dyDescent="0.35"/>
    <row r="3846" s="13" customFormat="1" x14ac:dyDescent="0.35"/>
    <row r="3847" s="13" customFormat="1" x14ac:dyDescent="0.35"/>
    <row r="3848" s="13" customFormat="1" x14ac:dyDescent="0.35"/>
    <row r="3849" s="13" customFormat="1" x14ac:dyDescent="0.35"/>
    <row r="3850" s="13" customFormat="1" x14ac:dyDescent="0.35"/>
    <row r="3851" s="13" customFormat="1" x14ac:dyDescent="0.35"/>
    <row r="3852" s="13" customFormat="1" x14ac:dyDescent="0.35"/>
    <row r="3853" s="13" customFormat="1" x14ac:dyDescent="0.35"/>
    <row r="3854" s="13" customFormat="1" x14ac:dyDescent="0.35"/>
    <row r="3855" s="13" customFormat="1" x14ac:dyDescent="0.35"/>
    <row r="3856" s="13" customFormat="1" x14ac:dyDescent="0.35"/>
    <row r="3857" s="13" customFormat="1" x14ac:dyDescent="0.35"/>
    <row r="3858" s="13" customFormat="1" x14ac:dyDescent="0.35"/>
    <row r="3859" s="13" customFormat="1" x14ac:dyDescent="0.35"/>
    <row r="3860" s="13" customFormat="1" x14ac:dyDescent="0.35"/>
    <row r="3861" s="13" customFormat="1" x14ac:dyDescent="0.35"/>
    <row r="3862" s="13" customFormat="1" x14ac:dyDescent="0.35"/>
    <row r="3863" s="13" customFormat="1" x14ac:dyDescent="0.35"/>
    <row r="3864" s="13" customFormat="1" x14ac:dyDescent="0.35"/>
    <row r="3865" s="13" customFormat="1" x14ac:dyDescent="0.35"/>
    <row r="3866" s="13" customFormat="1" x14ac:dyDescent="0.35"/>
    <row r="3867" s="13" customFormat="1" x14ac:dyDescent="0.35"/>
    <row r="3868" s="13" customFormat="1" x14ac:dyDescent="0.35"/>
    <row r="3869" s="13" customFormat="1" x14ac:dyDescent="0.35"/>
    <row r="3870" s="13" customFormat="1" x14ac:dyDescent="0.35"/>
    <row r="3871" s="13" customFormat="1" x14ac:dyDescent="0.35"/>
    <row r="3872" s="13" customFormat="1" x14ac:dyDescent="0.35"/>
    <row r="3873" s="13" customFormat="1" x14ac:dyDescent="0.35"/>
    <row r="3874" s="13" customFormat="1" x14ac:dyDescent="0.35"/>
    <row r="3875" s="13" customFormat="1" x14ac:dyDescent="0.35"/>
    <row r="3876" s="13" customFormat="1" x14ac:dyDescent="0.35"/>
    <row r="3877" s="13" customFormat="1" x14ac:dyDescent="0.35"/>
    <row r="3878" s="13" customFormat="1" x14ac:dyDescent="0.35"/>
    <row r="3879" s="13" customFormat="1" x14ac:dyDescent="0.35"/>
    <row r="3880" s="13" customFormat="1" x14ac:dyDescent="0.35"/>
    <row r="3881" s="13" customFormat="1" x14ac:dyDescent="0.35"/>
    <row r="3882" s="13" customFormat="1" x14ac:dyDescent="0.35"/>
    <row r="3883" s="13" customFormat="1" x14ac:dyDescent="0.35"/>
    <row r="3884" s="13" customFormat="1" x14ac:dyDescent="0.35"/>
    <row r="3885" s="13" customFormat="1" x14ac:dyDescent="0.35"/>
    <row r="3886" s="13" customFormat="1" x14ac:dyDescent="0.35"/>
    <row r="3887" s="13" customFormat="1" x14ac:dyDescent="0.35"/>
    <row r="3888" s="13" customFormat="1" x14ac:dyDescent="0.35"/>
    <row r="3889" s="13" customFormat="1" x14ac:dyDescent="0.35"/>
    <row r="3890" s="13" customFormat="1" x14ac:dyDescent="0.35"/>
    <row r="3891" s="13" customFormat="1" x14ac:dyDescent="0.35"/>
    <row r="3892" s="13" customFormat="1" x14ac:dyDescent="0.35"/>
    <row r="3893" s="13" customFormat="1" x14ac:dyDescent="0.35"/>
    <row r="3894" s="13" customFormat="1" x14ac:dyDescent="0.35"/>
    <row r="3895" s="13" customFormat="1" x14ac:dyDescent="0.35"/>
    <row r="3896" s="13" customFormat="1" x14ac:dyDescent="0.35"/>
    <row r="3897" s="13" customFormat="1" x14ac:dyDescent="0.35"/>
    <row r="3898" s="13" customFormat="1" x14ac:dyDescent="0.35"/>
    <row r="3899" s="13" customFormat="1" x14ac:dyDescent="0.35"/>
    <row r="3900" s="13" customFormat="1" x14ac:dyDescent="0.35"/>
    <row r="3901" s="13" customFormat="1" x14ac:dyDescent="0.35"/>
    <row r="3902" s="13" customFormat="1" x14ac:dyDescent="0.35"/>
    <row r="3903" s="13" customFormat="1" x14ac:dyDescent="0.35"/>
    <row r="3904" s="13" customFormat="1" x14ac:dyDescent="0.35"/>
    <row r="3905" s="13" customFormat="1" x14ac:dyDescent="0.35"/>
    <row r="3906" s="13" customFormat="1" x14ac:dyDescent="0.35"/>
    <row r="3907" s="13" customFormat="1" x14ac:dyDescent="0.35"/>
    <row r="3908" s="13" customFormat="1" x14ac:dyDescent="0.35"/>
    <row r="3909" s="13" customFormat="1" x14ac:dyDescent="0.35"/>
    <row r="3910" s="13" customFormat="1" x14ac:dyDescent="0.35"/>
    <row r="3911" s="13" customFormat="1" x14ac:dyDescent="0.35"/>
    <row r="3912" s="13" customFormat="1" x14ac:dyDescent="0.35"/>
    <row r="3913" s="13" customFormat="1" x14ac:dyDescent="0.35"/>
    <row r="3914" s="13" customFormat="1" x14ac:dyDescent="0.35"/>
    <row r="3915" s="13" customFormat="1" x14ac:dyDescent="0.35"/>
    <row r="3916" s="13" customFormat="1" x14ac:dyDescent="0.35"/>
    <row r="3917" s="13" customFormat="1" x14ac:dyDescent="0.35"/>
    <row r="3918" s="13" customFormat="1" x14ac:dyDescent="0.35"/>
    <row r="3919" s="13" customFormat="1" x14ac:dyDescent="0.35"/>
    <row r="3920" s="13" customFormat="1" x14ac:dyDescent="0.35"/>
    <row r="3921" s="13" customFormat="1" x14ac:dyDescent="0.35"/>
    <row r="3922" s="13" customFormat="1" x14ac:dyDescent="0.35"/>
    <row r="3923" s="13" customFormat="1" x14ac:dyDescent="0.35"/>
    <row r="3924" s="13" customFormat="1" x14ac:dyDescent="0.35"/>
    <row r="3925" s="13" customFormat="1" x14ac:dyDescent="0.35"/>
    <row r="3926" s="13" customFormat="1" x14ac:dyDescent="0.35"/>
    <row r="3927" s="13" customFormat="1" x14ac:dyDescent="0.35"/>
    <row r="3928" s="13" customFormat="1" x14ac:dyDescent="0.35"/>
    <row r="3929" s="13" customFormat="1" x14ac:dyDescent="0.35"/>
    <row r="3930" s="13" customFormat="1" x14ac:dyDescent="0.35"/>
    <row r="3931" s="13" customFormat="1" x14ac:dyDescent="0.35"/>
    <row r="3932" s="13" customFormat="1" x14ac:dyDescent="0.35"/>
    <row r="3933" s="13" customFormat="1" x14ac:dyDescent="0.35"/>
    <row r="3934" s="13" customFormat="1" x14ac:dyDescent="0.35"/>
    <row r="3935" s="13" customFormat="1" x14ac:dyDescent="0.35"/>
    <row r="3936" s="13" customFormat="1" x14ac:dyDescent="0.35"/>
    <row r="3937" s="13" customFormat="1" x14ac:dyDescent="0.35"/>
    <row r="3938" s="13" customFormat="1" x14ac:dyDescent="0.35"/>
    <row r="3939" s="13" customFormat="1" x14ac:dyDescent="0.35"/>
    <row r="3940" s="13" customFormat="1" x14ac:dyDescent="0.35"/>
    <row r="3941" s="13" customFormat="1" x14ac:dyDescent="0.35"/>
    <row r="3942" s="13" customFormat="1" x14ac:dyDescent="0.35"/>
    <row r="3943" s="13" customFormat="1" x14ac:dyDescent="0.35"/>
    <row r="3944" s="13" customFormat="1" x14ac:dyDescent="0.35"/>
    <row r="3945" s="13" customFormat="1" x14ac:dyDescent="0.35"/>
    <row r="3946" s="13" customFormat="1" x14ac:dyDescent="0.35"/>
    <row r="3947" s="13" customFormat="1" x14ac:dyDescent="0.35"/>
    <row r="3948" s="13" customFormat="1" x14ac:dyDescent="0.35"/>
    <row r="3949" s="13" customFormat="1" x14ac:dyDescent="0.35"/>
    <row r="3950" s="13" customFormat="1" x14ac:dyDescent="0.35"/>
    <row r="3951" s="13" customFormat="1" x14ac:dyDescent="0.35"/>
    <row r="3952" s="13" customFormat="1" x14ac:dyDescent="0.35"/>
    <row r="3953" s="13" customFormat="1" x14ac:dyDescent="0.35"/>
    <row r="3954" s="13" customFormat="1" x14ac:dyDescent="0.35"/>
    <row r="3955" s="13" customFormat="1" x14ac:dyDescent="0.35"/>
    <row r="3956" s="13" customFormat="1" x14ac:dyDescent="0.35"/>
    <row r="3957" s="13" customFormat="1" x14ac:dyDescent="0.35"/>
    <row r="3958" s="13" customFormat="1" x14ac:dyDescent="0.35"/>
    <row r="3959" s="13" customFormat="1" x14ac:dyDescent="0.35"/>
    <row r="3960" s="13" customFormat="1" x14ac:dyDescent="0.35"/>
    <row r="3961" s="13" customFormat="1" x14ac:dyDescent="0.35"/>
    <row r="3962" s="13" customFormat="1" x14ac:dyDescent="0.35"/>
    <row r="3963" s="13" customFormat="1" x14ac:dyDescent="0.35"/>
    <row r="3964" s="13" customFormat="1" x14ac:dyDescent="0.35"/>
    <row r="3965" s="13" customFormat="1" x14ac:dyDescent="0.35"/>
    <row r="3966" s="13" customFormat="1" x14ac:dyDescent="0.35"/>
    <row r="3967" s="13" customFormat="1" x14ac:dyDescent="0.35"/>
    <row r="3968" s="13" customFormat="1" x14ac:dyDescent="0.35"/>
    <row r="3969" s="13" customFormat="1" x14ac:dyDescent="0.35"/>
    <row r="3970" s="13" customFormat="1" x14ac:dyDescent="0.35"/>
    <row r="3971" s="13" customFormat="1" x14ac:dyDescent="0.35"/>
    <row r="3972" s="13" customFormat="1" x14ac:dyDescent="0.35"/>
    <row r="3973" s="13" customFormat="1" x14ac:dyDescent="0.35"/>
    <row r="3974" s="13" customFormat="1" x14ac:dyDescent="0.35"/>
    <row r="3975" s="13" customFormat="1" x14ac:dyDescent="0.35"/>
    <row r="3976" s="13" customFormat="1" x14ac:dyDescent="0.35"/>
    <row r="3977" s="13" customFormat="1" x14ac:dyDescent="0.35"/>
    <row r="3978" s="13" customFormat="1" x14ac:dyDescent="0.35"/>
    <row r="3979" s="13" customFormat="1" x14ac:dyDescent="0.35"/>
    <row r="3980" s="13" customFormat="1" x14ac:dyDescent="0.35"/>
    <row r="3981" s="13" customFormat="1" x14ac:dyDescent="0.35"/>
    <row r="3982" s="13" customFormat="1" x14ac:dyDescent="0.35"/>
    <row r="3983" s="13" customFormat="1" x14ac:dyDescent="0.35"/>
    <row r="3984" s="13" customFormat="1" x14ac:dyDescent="0.35"/>
    <row r="3985" s="13" customFormat="1" x14ac:dyDescent="0.35"/>
    <row r="3986" s="13" customFormat="1" x14ac:dyDescent="0.35"/>
    <row r="3987" s="13" customFormat="1" x14ac:dyDescent="0.35"/>
    <row r="3988" s="13" customFormat="1" x14ac:dyDescent="0.35"/>
    <row r="3989" s="13" customFormat="1" x14ac:dyDescent="0.35"/>
    <row r="3990" s="13" customFormat="1" x14ac:dyDescent="0.35"/>
    <row r="3991" s="13" customFormat="1" x14ac:dyDescent="0.35"/>
    <row r="3992" s="13" customFormat="1" x14ac:dyDescent="0.35"/>
    <row r="3993" s="13" customFormat="1" x14ac:dyDescent="0.35"/>
    <row r="3994" s="13" customFormat="1" x14ac:dyDescent="0.35"/>
    <row r="3995" s="13" customFormat="1" x14ac:dyDescent="0.35"/>
    <row r="3996" s="13" customFormat="1" x14ac:dyDescent="0.35"/>
    <row r="3997" s="13" customFormat="1" x14ac:dyDescent="0.35"/>
    <row r="3998" s="13" customFormat="1" x14ac:dyDescent="0.35"/>
    <row r="3999" s="13" customFormat="1" x14ac:dyDescent="0.35"/>
    <row r="4000" s="13" customFormat="1" x14ac:dyDescent="0.35"/>
    <row r="4001" s="13" customFormat="1" x14ac:dyDescent="0.35"/>
    <row r="4002" s="13" customFormat="1" x14ac:dyDescent="0.35"/>
    <row r="4003" s="13" customFormat="1" x14ac:dyDescent="0.35"/>
    <row r="4004" s="13" customFormat="1" x14ac:dyDescent="0.35"/>
    <row r="4005" s="13" customFormat="1" x14ac:dyDescent="0.35"/>
    <row r="4006" s="13" customFormat="1" x14ac:dyDescent="0.35"/>
    <row r="4007" s="13" customFormat="1" x14ac:dyDescent="0.35"/>
    <row r="4008" s="13" customFormat="1" x14ac:dyDescent="0.35"/>
    <row r="4009" s="13" customFormat="1" x14ac:dyDescent="0.35"/>
    <row r="4010" s="13" customFormat="1" x14ac:dyDescent="0.35"/>
    <row r="4011" s="13" customFormat="1" x14ac:dyDescent="0.35"/>
    <row r="4012" s="13" customFormat="1" x14ac:dyDescent="0.35"/>
    <row r="4013" s="13" customFormat="1" x14ac:dyDescent="0.35"/>
    <row r="4014" s="13" customFormat="1" x14ac:dyDescent="0.35"/>
    <row r="4015" s="13" customFormat="1" x14ac:dyDescent="0.35"/>
    <row r="4016" s="13" customFormat="1" x14ac:dyDescent="0.35"/>
    <row r="4017" s="13" customFormat="1" x14ac:dyDescent="0.35"/>
    <row r="4018" s="13" customFormat="1" x14ac:dyDescent="0.35"/>
    <row r="4019" s="13" customFormat="1" x14ac:dyDescent="0.35"/>
    <row r="4020" s="13" customFormat="1" x14ac:dyDescent="0.35"/>
    <row r="4021" s="13" customFormat="1" x14ac:dyDescent="0.35"/>
    <row r="4022" s="13" customFormat="1" x14ac:dyDescent="0.35"/>
    <row r="4023" s="13" customFormat="1" x14ac:dyDescent="0.35"/>
    <row r="4024" s="13" customFormat="1" x14ac:dyDescent="0.35"/>
    <row r="4025" s="13" customFormat="1" x14ac:dyDescent="0.35"/>
    <row r="4026" s="13" customFormat="1" x14ac:dyDescent="0.35"/>
    <row r="4027" s="13" customFormat="1" x14ac:dyDescent="0.35"/>
    <row r="4028" s="13" customFormat="1" x14ac:dyDescent="0.35"/>
    <row r="4029" s="13" customFormat="1" x14ac:dyDescent="0.35"/>
    <row r="4030" s="13" customFormat="1" x14ac:dyDescent="0.35"/>
    <row r="4031" s="13" customFormat="1" x14ac:dyDescent="0.35"/>
    <row r="4032" s="13" customFormat="1" x14ac:dyDescent="0.35"/>
    <row r="4033" s="13" customFormat="1" x14ac:dyDescent="0.35"/>
    <row r="4034" s="13" customFormat="1" x14ac:dyDescent="0.35"/>
    <row r="4035" s="13" customFormat="1" x14ac:dyDescent="0.35"/>
    <row r="4036" s="13" customFormat="1" x14ac:dyDescent="0.35"/>
    <row r="4037" s="13" customFormat="1" x14ac:dyDescent="0.35"/>
    <row r="4038" s="13" customFormat="1" x14ac:dyDescent="0.35"/>
    <row r="4039" s="13" customFormat="1" x14ac:dyDescent="0.35"/>
    <row r="4040" s="13" customFormat="1" x14ac:dyDescent="0.35"/>
    <row r="4041" s="13" customFormat="1" x14ac:dyDescent="0.35"/>
    <row r="4042" s="13" customFormat="1" x14ac:dyDescent="0.35"/>
    <row r="4043" s="13" customFormat="1" x14ac:dyDescent="0.35"/>
    <row r="4044" s="13" customFormat="1" x14ac:dyDescent="0.35"/>
    <row r="4045" s="13" customFormat="1" x14ac:dyDescent="0.35"/>
    <row r="4046" s="13" customFormat="1" x14ac:dyDescent="0.35"/>
    <row r="4047" s="13" customFormat="1" x14ac:dyDescent="0.35"/>
    <row r="4048" s="13" customFormat="1" x14ac:dyDescent="0.35"/>
    <row r="4049" s="13" customFormat="1" x14ac:dyDescent="0.35"/>
    <row r="4050" s="13" customFormat="1" x14ac:dyDescent="0.35"/>
    <row r="4051" s="13" customFormat="1" x14ac:dyDescent="0.35"/>
    <row r="4052" s="13" customFormat="1" x14ac:dyDescent="0.35"/>
    <row r="4053" s="13" customFormat="1" x14ac:dyDescent="0.35"/>
    <row r="4054" s="13" customFormat="1" x14ac:dyDescent="0.35"/>
    <row r="4055" s="13" customFormat="1" x14ac:dyDescent="0.35"/>
    <row r="4056" s="13" customFormat="1" x14ac:dyDescent="0.35"/>
    <row r="4057" s="13" customFormat="1" x14ac:dyDescent="0.35"/>
    <row r="4058" s="13" customFormat="1" x14ac:dyDescent="0.35"/>
    <row r="4059" s="13" customFormat="1" x14ac:dyDescent="0.35"/>
    <row r="4060" s="13" customFormat="1" x14ac:dyDescent="0.35"/>
    <row r="4061" s="13" customFormat="1" x14ac:dyDescent="0.35"/>
    <row r="4062" s="13" customFormat="1" x14ac:dyDescent="0.35"/>
    <row r="4063" s="13" customFormat="1" x14ac:dyDescent="0.35"/>
    <row r="4064" s="13" customFormat="1" x14ac:dyDescent="0.35"/>
    <row r="4065" s="13" customFormat="1" x14ac:dyDescent="0.35"/>
    <row r="4066" s="13" customFormat="1" x14ac:dyDescent="0.35"/>
    <row r="4067" s="13" customFormat="1" x14ac:dyDescent="0.35"/>
    <row r="4068" s="13" customFormat="1" x14ac:dyDescent="0.35"/>
    <row r="4069" s="13" customFormat="1" x14ac:dyDescent="0.35"/>
    <row r="4070" s="13" customFormat="1" x14ac:dyDescent="0.35"/>
    <row r="4071" s="13" customFormat="1" x14ac:dyDescent="0.35"/>
    <row r="4072" s="13" customFormat="1" x14ac:dyDescent="0.35"/>
    <row r="4073" s="13" customFormat="1" x14ac:dyDescent="0.35"/>
    <row r="4074" s="13" customFormat="1" x14ac:dyDescent="0.35"/>
    <row r="4075" s="13" customFormat="1" x14ac:dyDescent="0.35"/>
    <row r="4076" s="13" customFormat="1" x14ac:dyDescent="0.35"/>
    <row r="4077" s="13" customFormat="1" x14ac:dyDescent="0.35"/>
    <row r="4078" s="13" customFormat="1" x14ac:dyDescent="0.35"/>
    <row r="4079" s="13" customFormat="1" x14ac:dyDescent="0.35"/>
    <row r="4080" s="13" customFormat="1" x14ac:dyDescent="0.35"/>
    <row r="4081" s="13" customFormat="1" x14ac:dyDescent="0.35"/>
    <row r="4082" s="13" customFormat="1" x14ac:dyDescent="0.35"/>
    <row r="4083" s="13" customFormat="1" x14ac:dyDescent="0.35"/>
    <row r="4084" s="13" customFormat="1" x14ac:dyDescent="0.35"/>
    <row r="4085" s="13" customFormat="1" x14ac:dyDescent="0.35"/>
    <row r="4086" s="13" customFormat="1" x14ac:dyDescent="0.35"/>
    <row r="4087" s="13" customFormat="1" x14ac:dyDescent="0.35"/>
    <row r="4088" s="13" customFormat="1" x14ac:dyDescent="0.35"/>
    <row r="4089" s="13" customFormat="1" x14ac:dyDescent="0.35"/>
    <row r="4090" s="13" customFormat="1" x14ac:dyDescent="0.35"/>
    <row r="4091" s="13" customFormat="1" x14ac:dyDescent="0.35"/>
    <row r="4092" s="13" customFormat="1" x14ac:dyDescent="0.35"/>
    <row r="4093" s="13" customFormat="1" x14ac:dyDescent="0.35"/>
    <row r="4094" s="13" customFormat="1" x14ac:dyDescent="0.35"/>
    <row r="4095" s="13" customFormat="1" x14ac:dyDescent="0.35"/>
    <row r="4096" s="13" customFormat="1" x14ac:dyDescent="0.35"/>
    <row r="4097" s="13" customFormat="1" x14ac:dyDescent="0.35"/>
    <row r="4098" s="13" customFormat="1" x14ac:dyDescent="0.35"/>
    <row r="4099" s="13" customFormat="1" x14ac:dyDescent="0.35"/>
    <row r="4100" s="13" customFormat="1" x14ac:dyDescent="0.35"/>
    <row r="4101" s="13" customFormat="1" x14ac:dyDescent="0.35"/>
    <row r="4102" s="13" customFormat="1" x14ac:dyDescent="0.35"/>
    <row r="4103" s="13" customFormat="1" x14ac:dyDescent="0.35"/>
    <row r="4104" s="13" customFormat="1" x14ac:dyDescent="0.35"/>
    <row r="4105" s="13" customFormat="1" x14ac:dyDescent="0.35"/>
    <row r="4106" s="13" customFormat="1" x14ac:dyDescent="0.35"/>
    <row r="4107" s="13" customFormat="1" x14ac:dyDescent="0.35"/>
    <row r="4108" s="13" customFormat="1" x14ac:dyDescent="0.35"/>
    <row r="4109" s="13" customFormat="1" x14ac:dyDescent="0.35"/>
    <row r="4110" s="13" customFormat="1" x14ac:dyDescent="0.35"/>
    <row r="4111" s="13" customFormat="1" x14ac:dyDescent="0.35"/>
    <row r="4112" s="13" customFormat="1" x14ac:dyDescent="0.35"/>
    <row r="4113" s="13" customFormat="1" x14ac:dyDescent="0.35"/>
    <row r="4114" s="13" customFormat="1" x14ac:dyDescent="0.35"/>
    <row r="4115" s="13" customFormat="1" x14ac:dyDescent="0.35"/>
    <row r="4116" s="13" customFormat="1" x14ac:dyDescent="0.35"/>
    <row r="4117" s="13" customFormat="1" x14ac:dyDescent="0.35"/>
    <row r="4118" s="13" customFormat="1" x14ac:dyDescent="0.35"/>
    <row r="4119" s="13" customFormat="1" x14ac:dyDescent="0.35"/>
    <row r="4120" s="13" customFormat="1" x14ac:dyDescent="0.35"/>
    <row r="4121" s="13" customFormat="1" x14ac:dyDescent="0.35"/>
    <row r="4122" s="13" customFormat="1" x14ac:dyDescent="0.35"/>
    <row r="4123" s="13" customFormat="1" x14ac:dyDescent="0.35"/>
    <row r="4124" s="13" customFormat="1" x14ac:dyDescent="0.35"/>
    <row r="4125" s="13" customFormat="1" x14ac:dyDescent="0.35"/>
    <row r="4126" s="13" customFormat="1" x14ac:dyDescent="0.35"/>
    <row r="4127" s="13" customFormat="1" x14ac:dyDescent="0.35"/>
    <row r="4128" s="13" customFormat="1" x14ac:dyDescent="0.35"/>
    <row r="4129" s="13" customFormat="1" x14ac:dyDescent="0.35"/>
    <row r="4130" s="13" customFormat="1" x14ac:dyDescent="0.35"/>
    <row r="4131" s="13" customFormat="1" x14ac:dyDescent="0.35"/>
    <row r="4132" s="13" customFormat="1" x14ac:dyDescent="0.35"/>
    <row r="4133" s="13" customFormat="1" x14ac:dyDescent="0.35"/>
    <row r="4134" s="13" customFormat="1" x14ac:dyDescent="0.35"/>
    <row r="4135" s="13" customFormat="1" x14ac:dyDescent="0.35"/>
    <row r="4136" s="13" customFormat="1" x14ac:dyDescent="0.35"/>
    <row r="4137" s="13" customFormat="1" x14ac:dyDescent="0.35"/>
    <row r="4138" s="13" customFormat="1" x14ac:dyDescent="0.35"/>
    <row r="4139" s="13" customFormat="1" x14ac:dyDescent="0.35"/>
    <row r="4140" s="13" customFormat="1" x14ac:dyDescent="0.35"/>
    <row r="4141" s="13" customFormat="1" x14ac:dyDescent="0.35"/>
    <row r="4142" s="13" customFormat="1" x14ac:dyDescent="0.35"/>
    <row r="4143" s="13" customFormat="1" x14ac:dyDescent="0.35"/>
    <row r="4144" s="13" customFormat="1" x14ac:dyDescent="0.35"/>
    <row r="4145" s="13" customFormat="1" x14ac:dyDescent="0.35"/>
    <row r="4146" s="13" customFormat="1" x14ac:dyDescent="0.35"/>
    <row r="4147" s="13" customFormat="1" x14ac:dyDescent="0.35"/>
    <row r="4148" s="13" customFormat="1" x14ac:dyDescent="0.35"/>
    <row r="4149" s="13" customFormat="1" x14ac:dyDescent="0.35"/>
    <row r="4150" s="13" customFormat="1" x14ac:dyDescent="0.35"/>
    <row r="4151" s="13" customFormat="1" x14ac:dyDescent="0.35"/>
    <row r="4152" s="13" customFormat="1" x14ac:dyDescent="0.35"/>
    <row r="4153" s="13" customFormat="1" x14ac:dyDescent="0.35"/>
    <row r="4154" s="13" customFormat="1" x14ac:dyDescent="0.35"/>
    <row r="4155" s="13" customFormat="1" x14ac:dyDescent="0.35"/>
    <row r="4156" s="13" customFormat="1" x14ac:dyDescent="0.35"/>
    <row r="4157" s="13" customFormat="1" x14ac:dyDescent="0.35"/>
    <row r="4158" s="13" customFormat="1" x14ac:dyDescent="0.35"/>
    <row r="4159" s="13" customFormat="1" x14ac:dyDescent="0.35"/>
    <row r="4160" s="13" customFormat="1" x14ac:dyDescent="0.35"/>
    <row r="4161" s="13" customFormat="1" x14ac:dyDescent="0.35"/>
    <row r="4162" s="13" customFormat="1" x14ac:dyDescent="0.35"/>
    <row r="4163" s="13" customFormat="1" x14ac:dyDescent="0.35"/>
    <row r="4164" s="13" customFormat="1" x14ac:dyDescent="0.35"/>
    <row r="4165" s="13" customFormat="1" x14ac:dyDescent="0.35"/>
    <row r="4166" s="13" customFormat="1" x14ac:dyDescent="0.35"/>
    <row r="4167" s="13" customFormat="1" x14ac:dyDescent="0.35"/>
    <row r="4168" s="13" customFormat="1" x14ac:dyDescent="0.35"/>
    <row r="4169" s="13" customFormat="1" x14ac:dyDescent="0.35"/>
    <row r="4170" s="13" customFormat="1" x14ac:dyDescent="0.35"/>
    <row r="4171" s="13" customFormat="1" x14ac:dyDescent="0.35"/>
    <row r="4172" s="13" customFormat="1" x14ac:dyDescent="0.35"/>
    <row r="4173" s="13" customFormat="1" x14ac:dyDescent="0.35"/>
    <row r="4174" s="13" customFormat="1" x14ac:dyDescent="0.35"/>
    <row r="4175" s="13" customFormat="1" x14ac:dyDescent="0.35"/>
    <row r="4176" s="13" customFormat="1" x14ac:dyDescent="0.35"/>
    <row r="4177" s="13" customFormat="1" x14ac:dyDescent="0.35"/>
    <row r="4178" s="13" customFormat="1" x14ac:dyDescent="0.35"/>
    <row r="4179" s="13" customFormat="1" x14ac:dyDescent="0.35"/>
    <row r="4180" s="13" customFormat="1" x14ac:dyDescent="0.35"/>
    <row r="4181" s="13" customFormat="1" x14ac:dyDescent="0.35"/>
    <row r="4182" s="13" customFormat="1" x14ac:dyDescent="0.35"/>
    <row r="4183" s="13" customFormat="1" x14ac:dyDescent="0.35"/>
    <row r="4184" s="13" customFormat="1" x14ac:dyDescent="0.35"/>
    <row r="4185" s="13" customFormat="1" x14ac:dyDescent="0.35"/>
    <row r="4186" s="13" customFormat="1" x14ac:dyDescent="0.35"/>
    <row r="4187" s="13" customFormat="1" x14ac:dyDescent="0.35"/>
    <row r="4188" s="13" customFormat="1" x14ac:dyDescent="0.35"/>
    <row r="4189" s="13" customFormat="1" x14ac:dyDescent="0.35"/>
    <row r="4190" s="13" customFormat="1" x14ac:dyDescent="0.35"/>
    <row r="4191" s="13" customFormat="1" x14ac:dyDescent="0.35"/>
    <row r="4192" s="13" customFormat="1" x14ac:dyDescent="0.35"/>
    <row r="4193" s="13" customFormat="1" x14ac:dyDescent="0.35"/>
    <row r="4194" s="13" customFormat="1" x14ac:dyDescent="0.35"/>
    <row r="4195" s="13" customFormat="1" x14ac:dyDescent="0.35"/>
    <row r="4196" s="13" customFormat="1" x14ac:dyDescent="0.35"/>
    <row r="4197" s="13" customFormat="1" x14ac:dyDescent="0.35"/>
    <row r="4198" s="13" customFormat="1" x14ac:dyDescent="0.35"/>
    <row r="4199" s="13" customFormat="1" x14ac:dyDescent="0.35"/>
    <row r="4200" s="13" customFormat="1" x14ac:dyDescent="0.35"/>
    <row r="4201" s="13" customFormat="1" x14ac:dyDescent="0.35"/>
    <row r="4202" s="13" customFormat="1" x14ac:dyDescent="0.35"/>
    <row r="4203" s="13" customFormat="1" x14ac:dyDescent="0.35"/>
    <row r="4204" s="13" customFormat="1" x14ac:dyDescent="0.35"/>
    <row r="4205" s="13" customFormat="1" x14ac:dyDescent="0.35"/>
    <row r="4206" s="13" customFormat="1" x14ac:dyDescent="0.35"/>
    <row r="4207" s="13" customFormat="1" x14ac:dyDescent="0.35"/>
    <row r="4208" s="13" customFormat="1" x14ac:dyDescent="0.35"/>
    <row r="4209" s="13" customFormat="1" x14ac:dyDescent="0.35"/>
    <row r="4210" s="13" customFormat="1" x14ac:dyDescent="0.35"/>
    <row r="4211" s="13" customFormat="1" x14ac:dyDescent="0.35"/>
    <row r="4212" s="13" customFormat="1" x14ac:dyDescent="0.35"/>
    <row r="4213" s="13" customFormat="1" x14ac:dyDescent="0.35"/>
    <row r="4214" s="13" customFormat="1" x14ac:dyDescent="0.35"/>
    <row r="4215" s="13" customFormat="1" x14ac:dyDescent="0.35"/>
    <row r="4216" s="13" customFormat="1" x14ac:dyDescent="0.35"/>
    <row r="4217" s="13" customFormat="1" x14ac:dyDescent="0.35"/>
    <row r="4218" s="13" customFormat="1" x14ac:dyDescent="0.35"/>
    <row r="4219" s="13" customFormat="1" x14ac:dyDescent="0.35"/>
    <row r="4220" s="13" customFormat="1" x14ac:dyDescent="0.35"/>
    <row r="4221" s="13" customFormat="1" x14ac:dyDescent="0.35"/>
    <row r="4222" s="13" customFormat="1" x14ac:dyDescent="0.35"/>
    <row r="4223" s="13" customFormat="1" x14ac:dyDescent="0.35"/>
    <row r="4224" s="13" customFormat="1" x14ac:dyDescent="0.35"/>
    <row r="4225" s="13" customFormat="1" x14ac:dyDescent="0.35"/>
    <row r="4226" s="13" customFormat="1" x14ac:dyDescent="0.35"/>
    <row r="4227" s="13" customFormat="1" x14ac:dyDescent="0.35"/>
    <row r="4228" s="13" customFormat="1" x14ac:dyDescent="0.35"/>
    <row r="4229" s="13" customFormat="1" x14ac:dyDescent="0.35"/>
    <row r="4230" s="13" customFormat="1" x14ac:dyDescent="0.35"/>
    <row r="4231" s="13" customFormat="1" x14ac:dyDescent="0.35"/>
    <row r="4232" s="13" customFormat="1" x14ac:dyDescent="0.35"/>
    <row r="4233" s="13" customFormat="1" x14ac:dyDescent="0.35"/>
    <row r="4234" s="13" customFormat="1" x14ac:dyDescent="0.35"/>
    <row r="4235" s="13" customFormat="1" x14ac:dyDescent="0.35"/>
    <row r="4236" s="13" customFormat="1" x14ac:dyDescent="0.35"/>
    <row r="4237" s="13" customFormat="1" x14ac:dyDescent="0.35"/>
    <row r="4238" s="13" customFormat="1" x14ac:dyDescent="0.35"/>
    <row r="4239" s="13" customFormat="1" x14ac:dyDescent="0.35"/>
    <row r="4240" s="13" customFormat="1" x14ac:dyDescent="0.35"/>
    <row r="4241" s="13" customFormat="1" x14ac:dyDescent="0.35"/>
    <row r="4242" s="13" customFormat="1" x14ac:dyDescent="0.35"/>
    <row r="4243" s="13" customFormat="1" x14ac:dyDescent="0.35"/>
    <row r="4244" s="13" customFormat="1" x14ac:dyDescent="0.35"/>
    <row r="4245" s="13" customFormat="1" x14ac:dyDescent="0.35"/>
    <row r="4246" s="13" customFormat="1" x14ac:dyDescent="0.35"/>
    <row r="4247" s="13" customFormat="1" x14ac:dyDescent="0.35"/>
    <row r="4248" s="13" customFormat="1" x14ac:dyDescent="0.35"/>
    <row r="4249" s="13" customFormat="1" x14ac:dyDescent="0.35"/>
    <row r="4250" s="13" customFormat="1" x14ac:dyDescent="0.35"/>
    <row r="4251" s="13" customFormat="1" x14ac:dyDescent="0.35"/>
    <row r="4252" s="13" customFormat="1" x14ac:dyDescent="0.35"/>
    <row r="4253" s="13" customFormat="1" x14ac:dyDescent="0.35"/>
    <row r="4254" s="13" customFormat="1" x14ac:dyDescent="0.35"/>
    <row r="4255" s="13" customFormat="1" x14ac:dyDescent="0.35"/>
    <row r="4256" s="13" customFormat="1" x14ac:dyDescent="0.35"/>
    <row r="4257" s="13" customFormat="1" x14ac:dyDescent="0.35"/>
    <row r="4258" s="13" customFormat="1" x14ac:dyDescent="0.35"/>
    <row r="4259" s="13" customFormat="1" x14ac:dyDescent="0.35"/>
    <row r="4260" s="13" customFormat="1" x14ac:dyDescent="0.35"/>
    <row r="4261" s="13" customFormat="1" x14ac:dyDescent="0.35"/>
    <row r="4262" s="13" customFormat="1" x14ac:dyDescent="0.35"/>
    <row r="4263" s="13" customFormat="1" x14ac:dyDescent="0.35"/>
    <row r="4264" s="13" customFormat="1" x14ac:dyDescent="0.35"/>
    <row r="4265" s="13" customFormat="1" x14ac:dyDescent="0.35"/>
    <row r="4266" s="13" customFormat="1" x14ac:dyDescent="0.35"/>
    <row r="4267" s="13" customFormat="1" x14ac:dyDescent="0.35"/>
    <row r="4268" s="13" customFormat="1" x14ac:dyDescent="0.35"/>
    <row r="4269" s="13" customFormat="1" x14ac:dyDescent="0.35"/>
    <row r="4270" s="13" customFormat="1" x14ac:dyDescent="0.35"/>
    <row r="4271" s="13" customFormat="1" x14ac:dyDescent="0.35"/>
    <row r="4272" s="13" customFormat="1" x14ac:dyDescent="0.35"/>
    <row r="4273" s="13" customFormat="1" x14ac:dyDescent="0.35"/>
    <row r="4274" s="13" customFormat="1" x14ac:dyDescent="0.35"/>
    <row r="4275" s="13" customFormat="1" x14ac:dyDescent="0.35"/>
    <row r="4276" s="13" customFormat="1" x14ac:dyDescent="0.35"/>
    <row r="4277" s="13" customFormat="1" x14ac:dyDescent="0.35"/>
    <row r="4278" s="13" customFormat="1" x14ac:dyDescent="0.35"/>
    <row r="4279" s="13" customFormat="1" x14ac:dyDescent="0.35"/>
    <row r="4280" s="13" customFormat="1" x14ac:dyDescent="0.35"/>
    <row r="4281" s="13" customFormat="1" x14ac:dyDescent="0.35"/>
    <row r="4282" s="13" customFormat="1" x14ac:dyDescent="0.35"/>
    <row r="4283" s="13" customFormat="1" x14ac:dyDescent="0.35"/>
    <row r="4284" s="13" customFormat="1" x14ac:dyDescent="0.35"/>
    <row r="4285" s="13" customFormat="1" x14ac:dyDescent="0.35"/>
    <row r="4286" s="13" customFormat="1" x14ac:dyDescent="0.35"/>
    <row r="4287" s="13" customFormat="1" x14ac:dyDescent="0.35"/>
    <row r="4288" s="13" customFormat="1" x14ac:dyDescent="0.35"/>
    <row r="4289" s="13" customFormat="1" x14ac:dyDescent="0.35"/>
    <row r="4290" s="13" customFormat="1" x14ac:dyDescent="0.35"/>
    <row r="4291" s="13" customFormat="1" x14ac:dyDescent="0.35"/>
    <row r="4292" s="13" customFormat="1" x14ac:dyDescent="0.35"/>
    <row r="4293" s="13" customFormat="1" x14ac:dyDescent="0.35"/>
    <row r="4294" s="13" customFormat="1" x14ac:dyDescent="0.35"/>
    <row r="4295" s="13" customFormat="1" x14ac:dyDescent="0.35"/>
    <row r="4296" s="13" customFormat="1" x14ac:dyDescent="0.35"/>
    <row r="4297" s="13" customFormat="1" x14ac:dyDescent="0.35"/>
    <row r="4298" s="13" customFormat="1" x14ac:dyDescent="0.35"/>
    <row r="4299" s="13" customFormat="1" x14ac:dyDescent="0.35"/>
    <row r="4300" s="13" customFormat="1" x14ac:dyDescent="0.35"/>
    <row r="4301" s="13" customFormat="1" x14ac:dyDescent="0.35"/>
    <row r="4302" s="13" customFormat="1" x14ac:dyDescent="0.35"/>
    <row r="4303" s="13" customFormat="1" x14ac:dyDescent="0.35"/>
    <row r="4304" s="13" customFormat="1" x14ac:dyDescent="0.35"/>
    <row r="4305" s="13" customFormat="1" x14ac:dyDescent="0.35"/>
    <row r="4306" s="13" customFormat="1" x14ac:dyDescent="0.35"/>
    <row r="4307" s="13" customFormat="1" x14ac:dyDescent="0.35"/>
    <row r="4308" s="13" customFormat="1" x14ac:dyDescent="0.35"/>
    <row r="4309" s="13" customFormat="1" x14ac:dyDescent="0.35"/>
    <row r="4310" s="13" customFormat="1" x14ac:dyDescent="0.35"/>
    <row r="4311" s="13" customFormat="1" x14ac:dyDescent="0.35"/>
    <row r="4312" s="13" customFormat="1" x14ac:dyDescent="0.35"/>
    <row r="4313" s="13" customFormat="1" x14ac:dyDescent="0.35"/>
    <row r="4314" s="13" customFormat="1" x14ac:dyDescent="0.35"/>
    <row r="4315" s="13" customFormat="1" x14ac:dyDescent="0.35"/>
    <row r="4316" s="13" customFormat="1" x14ac:dyDescent="0.35"/>
    <row r="4317" s="13" customFormat="1" x14ac:dyDescent="0.35"/>
    <row r="4318" s="13" customFormat="1" x14ac:dyDescent="0.35"/>
    <row r="4319" s="13" customFormat="1" x14ac:dyDescent="0.35"/>
    <row r="4320" s="13" customFormat="1" x14ac:dyDescent="0.35"/>
    <row r="4321" s="13" customFormat="1" x14ac:dyDescent="0.35"/>
    <row r="4322" s="13" customFormat="1" x14ac:dyDescent="0.35"/>
    <row r="4323" s="13" customFormat="1" x14ac:dyDescent="0.35"/>
    <row r="4324" s="13" customFormat="1" x14ac:dyDescent="0.35"/>
    <row r="4325" s="13" customFormat="1" x14ac:dyDescent="0.35"/>
    <row r="4326" s="13" customFormat="1" x14ac:dyDescent="0.35"/>
    <row r="4327" s="13" customFormat="1" x14ac:dyDescent="0.35"/>
    <row r="4328" s="13" customFormat="1" x14ac:dyDescent="0.35"/>
    <row r="4329" s="13" customFormat="1" x14ac:dyDescent="0.35"/>
    <row r="4330" s="13" customFormat="1" x14ac:dyDescent="0.35"/>
    <row r="4331" s="13" customFormat="1" x14ac:dyDescent="0.35"/>
    <row r="4332" s="13" customFormat="1" x14ac:dyDescent="0.35"/>
    <row r="4333" s="13" customFormat="1" x14ac:dyDescent="0.35"/>
    <row r="4334" s="13" customFormat="1" x14ac:dyDescent="0.35"/>
    <row r="4335" s="13" customFormat="1" x14ac:dyDescent="0.35"/>
    <row r="4336" s="13" customFormat="1" x14ac:dyDescent="0.35"/>
    <row r="4337" s="13" customFormat="1" x14ac:dyDescent="0.35"/>
    <row r="4338" s="13" customFormat="1" x14ac:dyDescent="0.35"/>
    <row r="4339" s="13" customFormat="1" x14ac:dyDescent="0.35"/>
    <row r="4340" s="13" customFormat="1" x14ac:dyDescent="0.35"/>
    <row r="4341" s="13" customFormat="1" x14ac:dyDescent="0.35"/>
    <row r="4342" s="13" customFormat="1" x14ac:dyDescent="0.35"/>
    <row r="4343" s="13" customFormat="1" x14ac:dyDescent="0.35"/>
    <row r="4344" s="13" customFormat="1" x14ac:dyDescent="0.35"/>
    <row r="4345" s="13" customFormat="1" x14ac:dyDescent="0.35"/>
    <row r="4346" s="13" customFormat="1" x14ac:dyDescent="0.35"/>
    <row r="4347" s="13" customFormat="1" x14ac:dyDescent="0.35"/>
    <row r="4348" s="13" customFormat="1" x14ac:dyDescent="0.35"/>
    <row r="4349" s="13" customFormat="1" x14ac:dyDescent="0.35"/>
    <row r="4350" s="13" customFormat="1" x14ac:dyDescent="0.35"/>
    <row r="4351" s="13" customFormat="1" x14ac:dyDescent="0.35"/>
    <row r="4352" s="13" customFormat="1" x14ac:dyDescent="0.35"/>
    <row r="4353" s="13" customFormat="1" x14ac:dyDescent="0.35"/>
    <row r="4354" s="13" customFormat="1" x14ac:dyDescent="0.35"/>
    <row r="4355" s="13" customFormat="1" x14ac:dyDescent="0.35"/>
    <row r="4356" s="13" customFormat="1" x14ac:dyDescent="0.35"/>
    <row r="4357" s="13" customFormat="1" x14ac:dyDescent="0.35"/>
    <row r="4358" s="13" customFormat="1" x14ac:dyDescent="0.35"/>
    <row r="4359" s="13" customFormat="1" x14ac:dyDescent="0.35"/>
    <row r="4360" s="13" customFormat="1" x14ac:dyDescent="0.35"/>
    <row r="4361" s="13" customFormat="1" x14ac:dyDescent="0.35"/>
    <row r="4362" s="13" customFormat="1" x14ac:dyDescent="0.35"/>
    <row r="4363" s="13" customFormat="1" x14ac:dyDescent="0.35"/>
    <row r="4364" s="13" customFormat="1" x14ac:dyDescent="0.35"/>
    <row r="4365" s="13" customFormat="1" x14ac:dyDescent="0.35"/>
    <row r="4366" s="13" customFormat="1" x14ac:dyDescent="0.35"/>
    <row r="4367" s="13" customFormat="1" x14ac:dyDescent="0.35"/>
    <row r="4368" s="13" customFormat="1" x14ac:dyDescent="0.35"/>
    <row r="4369" s="13" customFormat="1" x14ac:dyDescent="0.35"/>
    <row r="4370" s="13" customFormat="1" x14ac:dyDescent="0.35"/>
    <row r="4371" s="13" customFormat="1" x14ac:dyDescent="0.35"/>
    <row r="4372" s="13" customFormat="1" x14ac:dyDescent="0.35"/>
    <row r="4373" s="13" customFormat="1" x14ac:dyDescent="0.35"/>
    <row r="4374" s="13" customFormat="1" x14ac:dyDescent="0.35"/>
    <row r="4375" s="13" customFormat="1" x14ac:dyDescent="0.35"/>
    <row r="4376" s="13" customFormat="1" x14ac:dyDescent="0.35"/>
    <row r="4377" s="13" customFormat="1" x14ac:dyDescent="0.35"/>
    <row r="4378" s="13" customFormat="1" x14ac:dyDescent="0.35"/>
    <row r="4379" s="13" customFormat="1" x14ac:dyDescent="0.35"/>
    <row r="4380" s="13" customFormat="1" x14ac:dyDescent="0.35"/>
    <row r="4381" s="13" customFormat="1" x14ac:dyDescent="0.35"/>
    <row r="4382" s="13" customFormat="1" x14ac:dyDescent="0.35"/>
    <row r="4383" s="13" customFormat="1" x14ac:dyDescent="0.35"/>
    <row r="4384" s="13" customFormat="1" x14ac:dyDescent="0.35"/>
    <row r="4385" s="13" customFormat="1" x14ac:dyDescent="0.35"/>
    <row r="4386" s="13" customFormat="1" x14ac:dyDescent="0.35"/>
    <row r="4387" s="13" customFormat="1" x14ac:dyDescent="0.35"/>
    <row r="4388" s="13" customFormat="1" x14ac:dyDescent="0.35"/>
    <row r="4389" s="13" customFormat="1" x14ac:dyDescent="0.35"/>
    <row r="4390" s="13" customFormat="1" x14ac:dyDescent="0.35"/>
    <row r="4391" s="13" customFormat="1" x14ac:dyDescent="0.35"/>
    <row r="4392" s="13" customFormat="1" x14ac:dyDescent="0.35"/>
    <row r="4393" s="13" customFormat="1" x14ac:dyDescent="0.35"/>
    <row r="4394" s="13" customFormat="1" x14ac:dyDescent="0.35"/>
    <row r="4395" s="13" customFormat="1" x14ac:dyDescent="0.35"/>
    <row r="4396" s="13" customFormat="1" x14ac:dyDescent="0.35"/>
    <row r="4397" s="13" customFormat="1" x14ac:dyDescent="0.35"/>
    <row r="4398" s="13" customFormat="1" x14ac:dyDescent="0.35"/>
    <row r="4399" s="13" customFormat="1" x14ac:dyDescent="0.35"/>
    <row r="4400" s="13" customFormat="1" x14ac:dyDescent="0.35"/>
    <row r="4401" s="13" customFormat="1" x14ac:dyDescent="0.35"/>
    <row r="4402" s="13" customFormat="1" x14ac:dyDescent="0.35"/>
    <row r="4403" s="13" customFormat="1" x14ac:dyDescent="0.35"/>
    <row r="4404" s="13" customFormat="1" x14ac:dyDescent="0.35"/>
    <row r="4405" s="13" customFormat="1" x14ac:dyDescent="0.35"/>
    <row r="4406" s="13" customFormat="1" x14ac:dyDescent="0.35"/>
    <row r="4407" s="13" customFormat="1" x14ac:dyDescent="0.35"/>
    <row r="4408" s="13" customFormat="1" x14ac:dyDescent="0.35"/>
    <row r="4409" s="13" customFormat="1" x14ac:dyDescent="0.35"/>
    <row r="4410" s="13" customFormat="1" x14ac:dyDescent="0.35"/>
    <row r="4411" s="13" customFormat="1" x14ac:dyDescent="0.35"/>
    <row r="4412" s="13" customFormat="1" x14ac:dyDescent="0.35"/>
    <row r="4413" s="13" customFormat="1" x14ac:dyDescent="0.35"/>
    <row r="4414" s="13" customFormat="1" x14ac:dyDescent="0.35"/>
    <row r="4415" s="13" customFormat="1" x14ac:dyDescent="0.35"/>
    <row r="4416" s="13" customFormat="1" x14ac:dyDescent="0.35"/>
    <row r="4417" s="13" customFormat="1" x14ac:dyDescent="0.35"/>
    <row r="4418" s="13" customFormat="1" x14ac:dyDescent="0.35"/>
    <row r="4419" s="13" customFormat="1" x14ac:dyDescent="0.35"/>
    <row r="4420" s="13" customFormat="1" x14ac:dyDescent="0.35"/>
    <row r="4421" s="13" customFormat="1" x14ac:dyDescent="0.35"/>
    <row r="4422" s="13" customFormat="1" x14ac:dyDescent="0.35"/>
    <row r="4423" s="13" customFormat="1" x14ac:dyDescent="0.35"/>
    <row r="4424" s="13" customFormat="1" x14ac:dyDescent="0.35"/>
    <row r="4425" s="13" customFormat="1" x14ac:dyDescent="0.35"/>
    <row r="4426" s="13" customFormat="1" x14ac:dyDescent="0.35"/>
    <row r="4427" s="13" customFormat="1" x14ac:dyDescent="0.35"/>
    <row r="4428" s="13" customFormat="1" x14ac:dyDescent="0.35"/>
    <row r="4429" s="13" customFormat="1" x14ac:dyDescent="0.35"/>
    <row r="4430" s="13" customFormat="1" x14ac:dyDescent="0.35"/>
    <row r="4431" s="13" customFormat="1" x14ac:dyDescent="0.35"/>
    <row r="4432" s="13" customFormat="1" x14ac:dyDescent="0.35"/>
    <row r="4433" s="13" customFormat="1" x14ac:dyDescent="0.35"/>
    <row r="4434" s="13" customFormat="1" x14ac:dyDescent="0.35"/>
    <row r="4435" s="13" customFormat="1" x14ac:dyDescent="0.35"/>
    <row r="4436" s="13" customFormat="1" x14ac:dyDescent="0.35"/>
    <row r="4437" s="13" customFormat="1" x14ac:dyDescent="0.35"/>
    <row r="4438" s="13" customFormat="1" x14ac:dyDescent="0.35"/>
    <row r="4439" s="13" customFormat="1" x14ac:dyDescent="0.35"/>
    <row r="4440" s="13" customFormat="1" x14ac:dyDescent="0.35"/>
    <row r="4441" s="13" customFormat="1" x14ac:dyDescent="0.35"/>
    <row r="4442" s="13" customFormat="1" x14ac:dyDescent="0.35"/>
    <row r="4443" s="13" customFormat="1" x14ac:dyDescent="0.35"/>
    <row r="4444" s="13" customFormat="1" x14ac:dyDescent="0.35"/>
    <row r="4445" s="13" customFormat="1" x14ac:dyDescent="0.35"/>
    <row r="4446" s="13" customFormat="1" x14ac:dyDescent="0.35"/>
    <row r="4447" s="13" customFormat="1" x14ac:dyDescent="0.35"/>
    <row r="4448" s="13" customFormat="1" x14ac:dyDescent="0.35"/>
    <row r="4449" s="13" customFormat="1" x14ac:dyDescent="0.35"/>
    <row r="4450" s="13" customFormat="1" x14ac:dyDescent="0.35"/>
    <row r="4451" s="13" customFormat="1" x14ac:dyDescent="0.35"/>
    <row r="4452" s="13" customFormat="1" x14ac:dyDescent="0.35"/>
    <row r="4453" s="13" customFormat="1" x14ac:dyDescent="0.35"/>
    <row r="4454" s="13" customFormat="1" x14ac:dyDescent="0.35"/>
    <row r="4455" s="13" customFormat="1" x14ac:dyDescent="0.35"/>
    <row r="4456" s="13" customFormat="1" x14ac:dyDescent="0.35"/>
    <row r="4457" s="13" customFormat="1" x14ac:dyDescent="0.35"/>
    <row r="4458" s="13" customFormat="1" x14ac:dyDescent="0.35"/>
    <row r="4459" s="13" customFormat="1" x14ac:dyDescent="0.35"/>
    <row r="4460" s="13" customFormat="1" x14ac:dyDescent="0.35"/>
    <row r="4461" s="13" customFormat="1" x14ac:dyDescent="0.35"/>
    <row r="4462" s="13" customFormat="1" x14ac:dyDescent="0.35"/>
    <row r="4463" s="13" customFormat="1" x14ac:dyDescent="0.35"/>
    <row r="4464" s="13" customFormat="1" x14ac:dyDescent="0.35"/>
    <row r="4465" s="13" customFormat="1" x14ac:dyDescent="0.35"/>
    <row r="4466" s="13" customFormat="1" x14ac:dyDescent="0.35"/>
    <row r="4467" s="13" customFormat="1" x14ac:dyDescent="0.35"/>
    <row r="4468" s="13" customFormat="1" x14ac:dyDescent="0.35"/>
    <row r="4469" s="13" customFormat="1" x14ac:dyDescent="0.35"/>
    <row r="4470" s="13" customFormat="1" x14ac:dyDescent="0.35"/>
    <row r="4471" s="13" customFormat="1" x14ac:dyDescent="0.35"/>
    <row r="4472" s="13" customFormat="1" x14ac:dyDescent="0.35"/>
    <row r="4473" s="13" customFormat="1" x14ac:dyDescent="0.35"/>
    <row r="4474" s="13" customFormat="1" x14ac:dyDescent="0.35"/>
    <row r="4475" s="13" customFormat="1" x14ac:dyDescent="0.35"/>
    <row r="4476" s="13" customFormat="1" x14ac:dyDescent="0.35"/>
    <row r="4477" s="13" customFormat="1" x14ac:dyDescent="0.35"/>
    <row r="4478" s="13" customFormat="1" x14ac:dyDescent="0.35"/>
    <row r="4479" s="13" customFormat="1" x14ac:dyDescent="0.35"/>
    <row r="4480" s="13" customFormat="1" x14ac:dyDescent="0.35"/>
    <row r="4481" s="13" customFormat="1" x14ac:dyDescent="0.35"/>
    <row r="4482" s="13" customFormat="1" x14ac:dyDescent="0.35"/>
    <row r="4483" s="13" customFormat="1" x14ac:dyDescent="0.35"/>
    <row r="4484" s="13" customFormat="1" x14ac:dyDescent="0.35"/>
    <row r="4485" s="13" customFormat="1" x14ac:dyDescent="0.35"/>
    <row r="4486" s="13" customFormat="1" x14ac:dyDescent="0.35"/>
    <row r="4487" s="13" customFormat="1" x14ac:dyDescent="0.35"/>
    <row r="4488" s="13" customFormat="1" x14ac:dyDescent="0.35"/>
    <row r="4489" s="13" customFormat="1" x14ac:dyDescent="0.35"/>
    <row r="4490" s="13" customFormat="1" x14ac:dyDescent="0.35"/>
    <row r="4491" s="13" customFormat="1" x14ac:dyDescent="0.35"/>
    <row r="4492" s="13" customFormat="1" x14ac:dyDescent="0.35"/>
    <row r="4493" s="13" customFormat="1" x14ac:dyDescent="0.35"/>
    <row r="4494" s="13" customFormat="1" x14ac:dyDescent="0.35"/>
    <row r="4495" s="13" customFormat="1" x14ac:dyDescent="0.35"/>
    <row r="4496" s="13" customFormat="1" x14ac:dyDescent="0.35"/>
    <row r="4497" s="13" customFormat="1" x14ac:dyDescent="0.35"/>
    <row r="4498" s="13" customFormat="1" x14ac:dyDescent="0.35"/>
    <row r="4499" s="13" customFormat="1" x14ac:dyDescent="0.35"/>
    <row r="4500" s="13" customFormat="1" x14ac:dyDescent="0.35"/>
    <row r="4501" s="13" customFormat="1" x14ac:dyDescent="0.35"/>
    <row r="4502" s="13" customFormat="1" x14ac:dyDescent="0.35"/>
    <row r="4503" s="13" customFormat="1" x14ac:dyDescent="0.35"/>
    <row r="4504" s="13" customFormat="1" x14ac:dyDescent="0.35"/>
    <row r="4505" s="13" customFormat="1" x14ac:dyDescent="0.35"/>
    <row r="4506" s="13" customFormat="1" x14ac:dyDescent="0.35"/>
    <row r="4507" s="13" customFormat="1" x14ac:dyDescent="0.35"/>
    <row r="4508" s="13" customFormat="1" x14ac:dyDescent="0.35"/>
    <row r="4509" s="13" customFormat="1" x14ac:dyDescent="0.35"/>
    <row r="4510" s="13" customFormat="1" x14ac:dyDescent="0.35"/>
    <row r="4511" s="13" customFormat="1" x14ac:dyDescent="0.35"/>
    <row r="4512" s="13" customFormat="1" x14ac:dyDescent="0.35"/>
    <row r="4513" s="13" customFormat="1" x14ac:dyDescent="0.35"/>
    <row r="4514" s="13" customFormat="1" x14ac:dyDescent="0.35"/>
    <row r="4515" s="13" customFormat="1" x14ac:dyDescent="0.35"/>
    <row r="4516" s="13" customFormat="1" x14ac:dyDescent="0.35"/>
    <row r="4517" s="13" customFormat="1" x14ac:dyDescent="0.35"/>
    <row r="4518" s="13" customFormat="1" x14ac:dyDescent="0.35"/>
    <row r="4519" s="13" customFormat="1" x14ac:dyDescent="0.35"/>
    <row r="4520" s="13" customFormat="1" x14ac:dyDescent="0.35"/>
    <row r="4521" s="13" customFormat="1" x14ac:dyDescent="0.35"/>
    <row r="4522" s="13" customFormat="1" x14ac:dyDescent="0.35"/>
    <row r="4523" s="13" customFormat="1" x14ac:dyDescent="0.35"/>
    <row r="4524" s="13" customFormat="1" x14ac:dyDescent="0.35"/>
    <row r="4525" s="13" customFormat="1" x14ac:dyDescent="0.35"/>
    <row r="4526" s="13" customFormat="1" x14ac:dyDescent="0.35"/>
    <row r="4527" s="13" customFormat="1" x14ac:dyDescent="0.35"/>
    <row r="4528" s="13" customFormat="1" x14ac:dyDescent="0.35"/>
    <row r="4529" s="13" customFormat="1" x14ac:dyDescent="0.35"/>
    <row r="4530" s="13" customFormat="1" x14ac:dyDescent="0.35"/>
    <row r="4531" s="13" customFormat="1" x14ac:dyDescent="0.35"/>
    <row r="4532" s="13" customFormat="1" x14ac:dyDescent="0.35"/>
    <row r="4533" s="13" customFormat="1" x14ac:dyDescent="0.35"/>
    <row r="4534" s="13" customFormat="1" x14ac:dyDescent="0.35"/>
    <row r="4535" s="13" customFormat="1" x14ac:dyDescent="0.35"/>
    <row r="4536" s="13" customFormat="1" x14ac:dyDescent="0.35"/>
    <row r="4537" s="13" customFormat="1" x14ac:dyDescent="0.35"/>
    <row r="4538" s="13" customFormat="1" x14ac:dyDescent="0.35"/>
    <row r="4539" s="13" customFormat="1" x14ac:dyDescent="0.35"/>
    <row r="4540" s="13" customFormat="1" x14ac:dyDescent="0.35"/>
    <row r="4541" s="13" customFormat="1" x14ac:dyDescent="0.35"/>
    <row r="4542" s="13" customFormat="1" x14ac:dyDescent="0.35"/>
    <row r="4543" s="13" customFormat="1" x14ac:dyDescent="0.35"/>
    <row r="4544" s="13" customFormat="1" x14ac:dyDescent="0.35"/>
    <row r="4545" s="13" customFormat="1" x14ac:dyDescent="0.35"/>
    <row r="4546" s="13" customFormat="1" x14ac:dyDescent="0.35"/>
    <row r="4547" s="13" customFormat="1" x14ac:dyDescent="0.35"/>
    <row r="4548" s="13" customFormat="1" x14ac:dyDescent="0.35"/>
    <row r="4549" s="13" customFormat="1" x14ac:dyDescent="0.35"/>
    <row r="4550" s="13" customFormat="1" x14ac:dyDescent="0.35"/>
    <row r="4551" s="13" customFormat="1" x14ac:dyDescent="0.35"/>
    <row r="4552" s="13" customFormat="1" x14ac:dyDescent="0.35"/>
    <row r="4553" s="13" customFormat="1" x14ac:dyDescent="0.35"/>
    <row r="4554" s="13" customFormat="1" x14ac:dyDescent="0.35"/>
    <row r="4555" s="13" customFormat="1" x14ac:dyDescent="0.35"/>
    <row r="4556" s="13" customFormat="1" x14ac:dyDescent="0.35"/>
    <row r="4557" s="13" customFormat="1" x14ac:dyDescent="0.35"/>
    <row r="4558" s="13" customFormat="1" x14ac:dyDescent="0.35"/>
    <row r="4559" s="13" customFormat="1" x14ac:dyDescent="0.35"/>
    <row r="4560" s="13" customFormat="1" x14ac:dyDescent="0.35"/>
    <row r="4561" s="13" customFormat="1" x14ac:dyDescent="0.35"/>
    <row r="4562" s="13" customFormat="1" x14ac:dyDescent="0.35"/>
    <row r="4563" s="13" customFormat="1" x14ac:dyDescent="0.35"/>
    <row r="4564" s="13" customFormat="1" x14ac:dyDescent="0.35"/>
    <row r="4565" s="13" customFormat="1" x14ac:dyDescent="0.35"/>
    <row r="4566" s="13" customFormat="1" x14ac:dyDescent="0.35"/>
    <row r="4567" s="13" customFormat="1" x14ac:dyDescent="0.35"/>
    <row r="4568" s="13" customFormat="1" x14ac:dyDescent="0.35"/>
    <row r="4569" s="13" customFormat="1" x14ac:dyDescent="0.35"/>
    <row r="4570" s="13" customFormat="1" x14ac:dyDescent="0.35"/>
    <row r="4571" s="13" customFormat="1" x14ac:dyDescent="0.35"/>
    <row r="4572" s="13" customFormat="1" x14ac:dyDescent="0.35"/>
    <row r="4573" s="13" customFormat="1" x14ac:dyDescent="0.35"/>
    <row r="4574" s="13" customFormat="1" x14ac:dyDescent="0.35"/>
    <row r="4575" s="13" customFormat="1" x14ac:dyDescent="0.35"/>
    <row r="4576" s="13" customFormat="1" x14ac:dyDescent="0.35"/>
    <row r="4577" s="13" customFormat="1" x14ac:dyDescent="0.35"/>
    <row r="4578" s="13" customFormat="1" x14ac:dyDescent="0.35"/>
    <row r="4579" s="13" customFormat="1" x14ac:dyDescent="0.35"/>
    <row r="4580" s="13" customFormat="1" x14ac:dyDescent="0.35"/>
    <row r="4581" s="13" customFormat="1" x14ac:dyDescent="0.35"/>
    <row r="4582" s="13" customFormat="1" x14ac:dyDescent="0.35"/>
    <row r="4583" s="13" customFormat="1" x14ac:dyDescent="0.35"/>
    <row r="4584" s="13" customFormat="1" x14ac:dyDescent="0.35"/>
    <row r="4585" s="13" customFormat="1" x14ac:dyDescent="0.35"/>
    <row r="4586" s="13" customFormat="1" x14ac:dyDescent="0.35"/>
    <row r="4587" s="13" customFormat="1" x14ac:dyDescent="0.35"/>
    <row r="4588" s="13" customFormat="1" x14ac:dyDescent="0.35"/>
    <row r="4589" s="13" customFormat="1" x14ac:dyDescent="0.35"/>
    <row r="4590" s="13" customFormat="1" x14ac:dyDescent="0.35"/>
    <row r="4591" s="13" customFormat="1" x14ac:dyDescent="0.35"/>
    <row r="4592" s="13" customFormat="1" x14ac:dyDescent="0.35"/>
    <row r="4593" s="13" customFormat="1" x14ac:dyDescent="0.35"/>
    <row r="4594" s="13" customFormat="1" x14ac:dyDescent="0.35"/>
    <row r="4595" s="13" customFormat="1" x14ac:dyDescent="0.35"/>
    <row r="4596" s="13" customFormat="1" x14ac:dyDescent="0.35"/>
    <row r="4597" s="13" customFormat="1" x14ac:dyDescent="0.35"/>
    <row r="4598" s="13" customFormat="1" x14ac:dyDescent="0.35"/>
    <row r="4599" s="13" customFormat="1" x14ac:dyDescent="0.35"/>
    <row r="4600" s="13" customFormat="1" x14ac:dyDescent="0.35"/>
    <row r="4601" s="13" customFormat="1" x14ac:dyDescent="0.35"/>
    <row r="4602" s="13" customFormat="1" x14ac:dyDescent="0.35"/>
    <row r="4603" s="13" customFormat="1" x14ac:dyDescent="0.35"/>
    <row r="4604" s="13" customFormat="1" x14ac:dyDescent="0.35"/>
    <row r="4605" s="13" customFormat="1" x14ac:dyDescent="0.35"/>
    <row r="4606" s="13" customFormat="1" x14ac:dyDescent="0.35"/>
    <row r="4607" s="13" customFormat="1" x14ac:dyDescent="0.35"/>
    <row r="4608" s="13" customFormat="1" x14ac:dyDescent="0.35"/>
    <row r="4609" s="13" customFormat="1" x14ac:dyDescent="0.35"/>
    <row r="4610" s="13" customFormat="1" x14ac:dyDescent="0.35"/>
    <row r="4611" s="13" customFormat="1" x14ac:dyDescent="0.35"/>
    <row r="4612" s="13" customFormat="1" x14ac:dyDescent="0.35"/>
    <row r="4613" s="13" customFormat="1" x14ac:dyDescent="0.35"/>
    <row r="4614" s="13" customFormat="1" x14ac:dyDescent="0.35"/>
    <row r="4615" s="13" customFormat="1" x14ac:dyDescent="0.35"/>
    <row r="4616" s="13" customFormat="1" x14ac:dyDescent="0.35"/>
    <row r="4617" s="13" customFormat="1" x14ac:dyDescent="0.35"/>
    <row r="4618" s="13" customFormat="1" x14ac:dyDescent="0.35"/>
    <row r="4619" s="13" customFormat="1" x14ac:dyDescent="0.35"/>
    <row r="4620" s="13" customFormat="1" x14ac:dyDescent="0.35"/>
    <row r="4621" s="13" customFormat="1" x14ac:dyDescent="0.35"/>
    <row r="4622" s="13" customFormat="1" x14ac:dyDescent="0.35"/>
    <row r="4623" s="13" customFormat="1" x14ac:dyDescent="0.35"/>
    <row r="4624" s="13" customFormat="1" x14ac:dyDescent="0.35"/>
    <row r="4625" s="13" customFormat="1" x14ac:dyDescent="0.35"/>
    <row r="4626" s="13" customFormat="1" x14ac:dyDescent="0.35"/>
    <row r="4627" s="13" customFormat="1" x14ac:dyDescent="0.35"/>
    <row r="4628" s="13" customFormat="1" x14ac:dyDescent="0.35"/>
    <row r="4629" s="13" customFormat="1" x14ac:dyDescent="0.35"/>
    <row r="4630" s="13" customFormat="1" x14ac:dyDescent="0.35"/>
    <row r="4631" s="13" customFormat="1" x14ac:dyDescent="0.35"/>
    <row r="4632" s="13" customFormat="1" x14ac:dyDescent="0.35"/>
    <row r="4633" s="13" customFormat="1" x14ac:dyDescent="0.35"/>
    <row r="4634" s="13" customFormat="1" x14ac:dyDescent="0.35"/>
    <row r="4635" s="13" customFormat="1" x14ac:dyDescent="0.35"/>
    <row r="4636" s="13" customFormat="1" x14ac:dyDescent="0.35"/>
    <row r="4637" s="13" customFormat="1" x14ac:dyDescent="0.35"/>
    <row r="4638" s="13" customFormat="1" x14ac:dyDescent="0.35"/>
    <row r="4639" s="13" customFormat="1" x14ac:dyDescent="0.35"/>
    <row r="4640" s="13" customFormat="1" x14ac:dyDescent="0.35"/>
    <row r="4641" s="13" customFormat="1" x14ac:dyDescent="0.35"/>
    <row r="4642" s="13" customFormat="1" x14ac:dyDescent="0.35"/>
    <row r="4643" s="13" customFormat="1" x14ac:dyDescent="0.35"/>
    <row r="4644" s="13" customFormat="1" x14ac:dyDescent="0.35"/>
    <row r="4645" s="13" customFormat="1" x14ac:dyDescent="0.35"/>
    <row r="4646" s="13" customFormat="1" x14ac:dyDescent="0.35"/>
    <row r="4647" s="13" customFormat="1" x14ac:dyDescent="0.35"/>
    <row r="4648" s="13" customFormat="1" x14ac:dyDescent="0.35"/>
    <row r="4649" s="13" customFormat="1" x14ac:dyDescent="0.35"/>
    <row r="4650" s="13" customFormat="1" x14ac:dyDescent="0.35"/>
    <row r="4651" s="13" customFormat="1" x14ac:dyDescent="0.35"/>
    <row r="4652" s="13" customFormat="1" x14ac:dyDescent="0.35"/>
    <row r="4653" s="13" customFormat="1" x14ac:dyDescent="0.35"/>
    <row r="4654" s="13" customFormat="1" x14ac:dyDescent="0.35"/>
    <row r="4655" s="13" customFormat="1" x14ac:dyDescent="0.35"/>
    <row r="4656" s="13" customFormat="1" x14ac:dyDescent="0.35"/>
    <row r="4657" s="13" customFormat="1" x14ac:dyDescent="0.35"/>
    <row r="4658" s="13" customFormat="1" x14ac:dyDescent="0.35"/>
    <row r="4659" s="13" customFormat="1" x14ac:dyDescent="0.35"/>
    <row r="4660" s="13" customFormat="1" x14ac:dyDescent="0.35"/>
    <row r="4661" s="13" customFormat="1" x14ac:dyDescent="0.35"/>
    <row r="4662" s="13" customFormat="1" x14ac:dyDescent="0.35"/>
    <row r="4663" s="13" customFormat="1" x14ac:dyDescent="0.35"/>
    <row r="4664" s="13" customFormat="1" x14ac:dyDescent="0.35"/>
    <row r="4665" s="13" customFormat="1" x14ac:dyDescent="0.35"/>
    <row r="4666" s="13" customFormat="1" x14ac:dyDescent="0.35"/>
    <row r="4667" s="13" customFormat="1" x14ac:dyDescent="0.35"/>
    <row r="4668" s="13" customFormat="1" x14ac:dyDescent="0.35"/>
    <row r="4669" s="13" customFormat="1" x14ac:dyDescent="0.35"/>
    <row r="4670" s="13" customFormat="1" x14ac:dyDescent="0.35"/>
    <row r="4671" s="13" customFormat="1" x14ac:dyDescent="0.35"/>
    <row r="4672" s="13" customFormat="1" x14ac:dyDescent="0.35"/>
    <row r="4673" s="13" customFormat="1" x14ac:dyDescent="0.35"/>
    <row r="4674" s="13" customFormat="1" x14ac:dyDescent="0.35"/>
    <row r="4675" s="13" customFormat="1" x14ac:dyDescent="0.35"/>
    <row r="4676" s="13" customFormat="1" x14ac:dyDescent="0.35"/>
    <row r="4677" s="13" customFormat="1" x14ac:dyDescent="0.35"/>
    <row r="4678" s="13" customFormat="1" x14ac:dyDescent="0.35"/>
    <row r="4679" s="13" customFormat="1" x14ac:dyDescent="0.35"/>
    <row r="4680" s="13" customFormat="1" x14ac:dyDescent="0.35"/>
    <row r="4681" s="13" customFormat="1" x14ac:dyDescent="0.35"/>
    <row r="4682" s="13" customFormat="1" x14ac:dyDescent="0.35"/>
    <row r="4683" s="13" customFormat="1" x14ac:dyDescent="0.35"/>
    <row r="4684" s="13" customFormat="1" x14ac:dyDescent="0.35"/>
    <row r="4685" s="13" customFormat="1" x14ac:dyDescent="0.35"/>
    <row r="4686" s="13" customFormat="1" x14ac:dyDescent="0.35"/>
    <row r="4687" s="13" customFormat="1" x14ac:dyDescent="0.35"/>
    <row r="4688" s="13" customFormat="1" x14ac:dyDescent="0.35"/>
    <row r="4689" s="13" customFormat="1" x14ac:dyDescent="0.35"/>
    <row r="4690" s="13" customFormat="1" x14ac:dyDescent="0.35"/>
    <row r="4691" s="13" customFormat="1" x14ac:dyDescent="0.35"/>
    <row r="4692" s="13" customFormat="1" x14ac:dyDescent="0.35"/>
    <row r="4693" s="13" customFormat="1" x14ac:dyDescent="0.35"/>
    <row r="4694" s="13" customFormat="1" x14ac:dyDescent="0.35"/>
    <row r="4695" s="13" customFormat="1" x14ac:dyDescent="0.35"/>
    <row r="4696" s="13" customFormat="1" x14ac:dyDescent="0.35"/>
    <row r="4697" s="13" customFormat="1" x14ac:dyDescent="0.35"/>
    <row r="4698" s="13" customFormat="1" x14ac:dyDescent="0.35"/>
    <row r="4699" s="13" customFormat="1" x14ac:dyDescent="0.35"/>
    <row r="4700" s="13" customFormat="1" x14ac:dyDescent="0.35"/>
    <row r="4701" s="13" customFormat="1" x14ac:dyDescent="0.35"/>
    <row r="4702" s="13" customFormat="1" x14ac:dyDescent="0.35"/>
    <row r="4703" s="13" customFormat="1" x14ac:dyDescent="0.35"/>
    <row r="4704" s="13" customFormat="1" x14ac:dyDescent="0.35"/>
    <row r="4705" s="13" customFormat="1" x14ac:dyDescent="0.35"/>
    <row r="4706" s="13" customFormat="1" x14ac:dyDescent="0.35"/>
    <row r="4707" s="13" customFormat="1" x14ac:dyDescent="0.35"/>
    <row r="4708" s="13" customFormat="1" x14ac:dyDescent="0.35"/>
    <row r="4709" s="13" customFormat="1" x14ac:dyDescent="0.35"/>
    <row r="4710" s="13" customFormat="1" x14ac:dyDescent="0.35"/>
    <row r="4711" s="13" customFormat="1" x14ac:dyDescent="0.35"/>
    <row r="4712" s="13" customFormat="1" x14ac:dyDescent="0.35"/>
    <row r="4713" s="13" customFormat="1" x14ac:dyDescent="0.35"/>
    <row r="4714" s="13" customFormat="1" x14ac:dyDescent="0.35"/>
    <row r="4715" s="13" customFormat="1" x14ac:dyDescent="0.35"/>
    <row r="4716" s="13" customFormat="1" x14ac:dyDescent="0.35"/>
    <row r="4717" s="13" customFormat="1" x14ac:dyDescent="0.35"/>
    <row r="4718" s="13" customFormat="1" x14ac:dyDescent="0.35"/>
    <row r="4719" s="13" customFormat="1" x14ac:dyDescent="0.35"/>
    <row r="4720" s="13" customFormat="1" x14ac:dyDescent="0.35"/>
    <row r="4721" s="13" customFormat="1" x14ac:dyDescent="0.35"/>
    <row r="4722" s="13" customFormat="1" x14ac:dyDescent="0.35"/>
    <row r="4723" s="13" customFormat="1" x14ac:dyDescent="0.35"/>
    <row r="4724" s="13" customFormat="1" x14ac:dyDescent="0.35"/>
    <row r="4725" s="13" customFormat="1" x14ac:dyDescent="0.35"/>
    <row r="4726" s="13" customFormat="1" x14ac:dyDescent="0.35"/>
    <row r="4727" s="13" customFormat="1" x14ac:dyDescent="0.35"/>
    <row r="4728" s="13" customFormat="1" x14ac:dyDescent="0.35"/>
    <row r="4729" s="13" customFormat="1" x14ac:dyDescent="0.35"/>
    <row r="4730" s="13" customFormat="1" x14ac:dyDescent="0.35"/>
    <row r="4731" s="13" customFormat="1" x14ac:dyDescent="0.35"/>
    <row r="4732" s="13" customFormat="1" x14ac:dyDescent="0.35"/>
    <row r="4733" s="13" customFormat="1" x14ac:dyDescent="0.35"/>
    <row r="4734" s="13" customFormat="1" x14ac:dyDescent="0.35"/>
    <row r="4735" s="13" customFormat="1" x14ac:dyDescent="0.35"/>
    <row r="4736" s="13" customFormat="1" x14ac:dyDescent="0.35"/>
    <row r="4737" s="13" customFormat="1" x14ac:dyDescent="0.35"/>
    <row r="4738" s="13" customFormat="1" x14ac:dyDescent="0.35"/>
    <row r="4739" s="13" customFormat="1" x14ac:dyDescent="0.35"/>
    <row r="4740" s="13" customFormat="1" x14ac:dyDescent="0.35"/>
    <row r="4741" s="13" customFormat="1" x14ac:dyDescent="0.35"/>
    <row r="4742" s="13" customFormat="1" x14ac:dyDescent="0.35"/>
    <row r="4743" s="13" customFormat="1" x14ac:dyDescent="0.35"/>
    <row r="4744" s="13" customFormat="1" x14ac:dyDescent="0.35"/>
    <row r="4745" s="13" customFormat="1" x14ac:dyDescent="0.35"/>
    <row r="4746" s="13" customFormat="1" x14ac:dyDescent="0.35"/>
    <row r="4747" s="13" customFormat="1" x14ac:dyDescent="0.35"/>
    <row r="4748" s="13" customFormat="1" x14ac:dyDescent="0.35"/>
    <row r="4749" s="13" customFormat="1" x14ac:dyDescent="0.35"/>
    <row r="4750" s="13" customFormat="1" x14ac:dyDescent="0.35"/>
    <row r="4751" s="13" customFormat="1" x14ac:dyDescent="0.35"/>
    <row r="4752" s="13" customFormat="1" x14ac:dyDescent="0.35"/>
    <row r="4753" s="13" customFormat="1" x14ac:dyDescent="0.35"/>
    <row r="4754" s="13" customFormat="1" x14ac:dyDescent="0.35"/>
    <row r="4755" s="13" customFormat="1" x14ac:dyDescent="0.35"/>
    <row r="4756" s="13" customFormat="1" x14ac:dyDescent="0.35"/>
    <row r="4757" s="13" customFormat="1" x14ac:dyDescent="0.35"/>
    <row r="4758" s="13" customFormat="1" x14ac:dyDescent="0.35"/>
    <row r="4759" s="13" customFormat="1" x14ac:dyDescent="0.35"/>
    <row r="4760" s="13" customFormat="1" x14ac:dyDescent="0.35"/>
    <row r="4761" s="13" customFormat="1" x14ac:dyDescent="0.35"/>
    <row r="4762" s="13" customFormat="1" x14ac:dyDescent="0.35"/>
    <row r="4763" s="13" customFormat="1" x14ac:dyDescent="0.35"/>
    <row r="4764" s="13" customFormat="1" x14ac:dyDescent="0.35"/>
    <row r="4765" s="13" customFormat="1" x14ac:dyDescent="0.35"/>
    <row r="4766" s="13" customFormat="1" x14ac:dyDescent="0.35"/>
    <row r="4767" s="13" customFormat="1" x14ac:dyDescent="0.35"/>
    <row r="4768" s="13" customFormat="1" x14ac:dyDescent="0.35"/>
    <row r="4769" s="13" customFormat="1" x14ac:dyDescent="0.35"/>
    <row r="4770" s="13" customFormat="1" x14ac:dyDescent="0.35"/>
    <row r="4771" s="13" customFormat="1" x14ac:dyDescent="0.35"/>
    <row r="4772" s="13" customFormat="1" x14ac:dyDescent="0.35"/>
    <row r="4773" s="13" customFormat="1" x14ac:dyDescent="0.35"/>
    <row r="4774" s="13" customFormat="1" x14ac:dyDescent="0.35"/>
    <row r="4775" s="13" customFormat="1" x14ac:dyDescent="0.35"/>
    <row r="4776" s="13" customFormat="1" x14ac:dyDescent="0.35"/>
    <row r="4777" s="13" customFormat="1" x14ac:dyDescent="0.35"/>
    <row r="4778" s="13" customFormat="1" x14ac:dyDescent="0.35"/>
    <row r="4779" s="13" customFormat="1" x14ac:dyDescent="0.35"/>
    <row r="4780" s="13" customFormat="1" x14ac:dyDescent="0.35"/>
    <row r="4781" s="13" customFormat="1" x14ac:dyDescent="0.35"/>
    <row r="4782" s="13" customFormat="1" x14ac:dyDescent="0.35"/>
    <row r="4783" s="13" customFormat="1" x14ac:dyDescent="0.35"/>
    <row r="4784" s="13" customFormat="1" x14ac:dyDescent="0.35"/>
    <row r="4785" s="13" customFormat="1" x14ac:dyDescent="0.35"/>
    <row r="4786" s="13" customFormat="1" x14ac:dyDescent="0.35"/>
    <row r="4787" s="13" customFormat="1" x14ac:dyDescent="0.35"/>
    <row r="4788" s="13" customFormat="1" x14ac:dyDescent="0.35"/>
    <row r="4789" s="13" customFormat="1" x14ac:dyDescent="0.35"/>
    <row r="4790" s="13" customFormat="1" x14ac:dyDescent="0.35"/>
    <row r="4791" s="13" customFormat="1" x14ac:dyDescent="0.35"/>
    <row r="4792" s="13" customFormat="1" x14ac:dyDescent="0.35"/>
    <row r="4793" s="13" customFormat="1" x14ac:dyDescent="0.35"/>
    <row r="4794" s="13" customFormat="1" x14ac:dyDescent="0.35"/>
    <row r="4795" s="13" customFormat="1" x14ac:dyDescent="0.35"/>
    <row r="4796" s="13" customFormat="1" x14ac:dyDescent="0.35"/>
    <row r="4797" s="13" customFormat="1" x14ac:dyDescent="0.35"/>
    <row r="4798" s="13" customFormat="1" x14ac:dyDescent="0.35"/>
    <row r="4799" s="13" customFormat="1" x14ac:dyDescent="0.35"/>
    <row r="4800" s="13" customFormat="1" x14ac:dyDescent="0.35"/>
    <row r="4801" s="13" customFormat="1" x14ac:dyDescent="0.35"/>
    <row r="4802" s="13" customFormat="1" x14ac:dyDescent="0.35"/>
    <row r="4803" s="13" customFormat="1" x14ac:dyDescent="0.35"/>
    <row r="4804" s="13" customFormat="1" x14ac:dyDescent="0.35"/>
    <row r="4805" s="13" customFormat="1" x14ac:dyDescent="0.35"/>
    <row r="4806" s="13" customFormat="1" x14ac:dyDescent="0.35"/>
    <row r="4807" s="13" customFormat="1" x14ac:dyDescent="0.35"/>
    <row r="4808" s="13" customFormat="1" x14ac:dyDescent="0.35"/>
    <row r="4809" s="13" customFormat="1" x14ac:dyDescent="0.35"/>
    <row r="4810" s="13" customFormat="1" x14ac:dyDescent="0.35"/>
    <row r="4811" s="13" customFormat="1" x14ac:dyDescent="0.35"/>
    <row r="4812" s="13" customFormat="1" x14ac:dyDescent="0.35"/>
    <row r="4813" s="13" customFormat="1" x14ac:dyDescent="0.35"/>
    <row r="4814" s="13" customFormat="1" x14ac:dyDescent="0.35"/>
    <row r="4815" s="13" customFormat="1" x14ac:dyDescent="0.35"/>
    <row r="4816" s="13" customFormat="1" x14ac:dyDescent="0.35"/>
    <row r="4817" s="13" customFormat="1" x14ac:dyDescent="0.35"/>
    <row r="4818" s="13" customFormat="1" x14ac:dyDescent="0.35"/>
    <row r="4819" s="13" customFormat="1" x14ac:dyDescent="0.35"/>
    <row r="4820" s="13" customFormat="1" x14ac:dyDescent="0.35"/>
    <row r="4821" s="13" customFormat="1" x14ac:dyDescent="0.35"/>
    <row r="4822" s="13" customFormat="1" x14ac:dyDescent="0.35"/>
    <row r="4823" s="13" customFormat="1" x14ac:dyDescent="0.35"/>
    <row r="4824" s="13" customFormat="1" x14ac:dyDescent="0.35"/>
    <row r="4825" s="13" customFormat="1" x14ac:dyDescent="0.35"/>
    <row r="4826" s="13" customFormat="1" x14ac:dyDescent="0.35"/>
    <row r="4827" s="13" customFormat="1" x14ac:dyDescent="0.35"/>
    <row r="4828" s="13" customFormat="1" x14ac:dyDescent="0.35"/>
    <row r="4829" s="13" customFormat="1" x14ac:dyDescent="0.35"/>
    <row r="4830" s="13" customFormat="1" x14ac:dyDescent="0.35"/>
    <row r="4831" s="13" customFormat="1" x14ac:dyDescent="0.35"/>
    <row r="4832" s="13" customFormat="1" x14ac:dyDescent="0.35"/>
    <row r="4833" s="13" customFormat="1" x14ac:dyDescent="0.35"/>
    <row r="4834" s="13" customFormat="1" x14ac:dyDescent="0.35"/>
    <row r="4835" s="13" customFormat="1" x14ac:dyDescent="0.35"/>
    <row r="4836" s="13" customFormat="1" x14ac:dyDescent="0.35"/>
    <row r="4837" s="13" customFormat="1" x14ac:dyDescent="0.35"/>
    <row r="4838" s="13" customFormat="1" x14ac:dyDescent="0.35"/>
    <row r="4839" s="13" customFormat="1" x14ac:dyDescent="0.35"/>
    <row r="4840" s="13" customFormat="1" x14ac:dyDescent="0.35"/>
    <row r="4841" s="13" customFormat="1" x14ac:dyDescent="0.35"/>
    <row r="4842" s="13" customFormat="1" x14ac:dyDescent="0.35"/>
    <row r="4843" s="13" customFormat="1" x14ac:dyDescent="0.35"/>
    <row r="4844" s="13" customFormat="1" x14ac:dyDescent="0.35"/>
    <row r="4845" s="13" customFormat="1" x14ac:dyDescent="0.35"/>
    <row r="4846" s="13" customFormat="1" x14ac:dyDescent="0.35"/>
    <row r="4847" s="13" customFormat="1" x14ac:dyDescent="0.35"/>
    <row r="4848" s="13" customFormat="1" x14ac:dyDescent="0.35"/>
    <row r="4849" s="13" customFormat="1" x14ac:dyDescent="0.35"/>
    <row r="4850" s="13" customFormat="1" x14ac:dyDescent="0.35"/>
    <row r="4851" s="13" customFormat="1" x14ac:dyDescent="0.35"/>
    <row r="4852" s="13" customFormat="1" x14ac:dyDescent="0.35"/>
    <row r="4853" s="13" customFormat="1" x14ac:dyDescent="0.35"/>
    <row r="4854" s="13" customFormat="1" x14ac:dyDescent="0.35"/>
    <row r="4855" s="13" customFormat="1" x14ac:dyDescent="0.35"/>
    <row r="4856" s="13" customFormat="1" x14ac:dyDescent="0.35"/>
    <row r="4857" s="13" customFormat="1" x14ac:dyDescent="0.35"/>
    <row r="4858" s="13" customFormat="1" x14ac:dyDescent="0.35"/>
    <row r="4859" s="13" customFormat="1" x14ac:dyDescent="0.35"/>
    <row r="4860" s="13" customFormat="1" x14ac:dyDescent="0.35"/>
    <row r="4861" s="13" customFormat="1" x14ac:dyDescent="0.35"/>
    <row r="4862" s="13" customFormat="1" x14ac:dyDescent="0.35"/>
    <row r="4863" s="13" customFormat="1" x14ac:dyDescent="0.35"/>
    <row r="4864" s="13" customFormat="1" x14ac:dyDescent="0.35"/>
    <row r="4865" s="13" customFormat="1" x14ac:dyDescent="0.35"/>
    <row r="4866" s="13" customFormat="1" x14ac:dyDescent="0.35"/>
    <row r="4867" s="13" customFormat="1" x14ac:dyDescent="0.35"/>
    <row r="4868" s="13" customFormat="1" x14ac:dyDescent="0.35"/>
    <row r="4869" s="13" customFormat="1" x14ac:dyDescent="0.35"/>
    <row r="4870" s="13" customFormat="1" x14ac:dyDescent="0.35"/>
    <row r="4871" s="13" customFormat="1" x14ac:dyDescent="0.35"/>
    <row r="4872" s="13" customFormat="1" x14ac:dyDescent="0.35"/>
    <row r="4873" s="13" customFormat="1" x14ac:dyDescent="0.35"/>
    <row r="4874" s="13" customFormat="1" x14ac:dyDescent="0.35"/>
    <row r="4875" s="13" customFormat="1" x14ac:dyDescent="0.35"/>
    <row r="4876" s="13" customFormat="1" x14ac:dyDescent="0.35"/>
    <row r="4877" s="13" customFormat="1" x14ac:dyDescent="0.35"/>
    <row r="4878" s="13" customFormat="1" x14ac:dyDescent="0.35"/>
    <row r="4879" s="13" customFormat="1" x14ac:dyDescent="0.35"/>
    <row r="4880" s="13" customFormat="1" x14ac:dyDescent="0.35"/>
    <row r="4881" s="13" customFormat="1" x14ac:dyDescent="0.35"/>
    <row r="4882" s="13" customFormat="1" x14ac:dyDescent="0.35"/>
    <row r="4883" s="13" customFormat="1" x14ac:dyDescent="0.35"/>
    <row r="4884" s="13" customFormat="1" x14ac:dyDescent="0.35"/>
    <row r="4885" s="13" customFormat="1" x14ac:dyDescent="0.35"/>
    <row r="4886" s="13" customFormat="1" x14ac:dyDescent="0.35"/>
    <row r="4887" s="13" customFormat="1" x14ac:dyDescent="0.35"/>
    <row r="4888" s="13" customFormat="1" x14ac:dyDescent="0.35"/>
    <row r="4889" s="13" customFormat="1" x14ac:dyDescent="0.35"/>
    <row r="4890" s="13" customFormat="1" x14ac:dyDescent="0.35"/>
    <row r="4891" s="13" customFormat="1" x14ac:dyDescent="0.35"/>
    <row r="4892" s="13" customFormat="1" x14ac:dyDescent="0.35"/>
    <row r="4893" s="13" customFormat="1" x14ac:dyDescent="0.35"/>
    <row r="4894" s="13" customFormat="1" x14ac:dyDescent="0.35"/>
    <row r="4895" s="13" customFormat="1" x14ac:dyDescent="0.35"/>
    <row r="4896" s="13" customFormat="1" x14ac:dyDescent="0.35"/>
    <row r="4897" s="13" customFormat="1" x14ac:dyDescent="0.35"/>
    <row r="4898" s="13" customFormat="1" x14ac:dyDescent="0.35"/>
    <row r="4899" s="13" customFormat="1" x14ac:dyDescent="0.35"/>
    <row r="4900" s="13" customFormat="1" x14ac:dyDescent="0.35"/>
    <row r="4901" s="13" customFormat="1" x14ac:dyDescent="0.35"/>
    <row r="4902" s="13" customFormat="1" x14ac:dyDescent="0.35"/>
    <row r="4903" s="13" customFormat="1" x14ac:dyDescent="0.35"/>
    <row r="4904" s="13" customFormat="1" x14ac:dyDescent="0.35"/>
    <row r="4905" s="13" customFormat="1" x14ac:dyDescent="0.35"/>
    <row r="4906" s="13" customFormat="1" x14ac:dyDescent="0.35"/>
    <row r="4907" s="13" customFormat="1" x14ac:dyDescent="0.35"/>
    <row r="4908" s="13" customFormat="1" x14ac:dyDescent="0.35"/>
    <row r="4909" s="13" customFormat="1" x14ac:dyDescent="0.35"/>
    <row r="4910" s="13" customFormat="1" x14ac:dyDescent="0.35"/>
    <row r="4911" s="13" customFormat="1" x14ac:dyDescent="0.35"/>
    <row r="4912" s="13" customFormat="1" x14ac:dyDescent="0.35"/>
    <row r="4913" s="13" customFormat="1" x14ac:dyDescent="0.35"/>
    <row r="4914" s="13" customFormat="1" x14ac:dyDescent="0.35"/>
    <row r="4915" s="13" customFormat="1" x14ac:dyDescent="0.35"/>
    <row r="4916" s="13" customFormat="1" x14ac:dyDescent="0.35"/>
    <row r="4917" s="13" customFormat="1" x14ac:dyDescent="0.35"/>
    <row r="4918" s="13" customFormat="1" x14ac:dyDescent="0.35"/>
    <row r="4919" s="13" customFormat="1" x14ac:dyDescent="0.35"/>
    <row r="4920" s="13" customFormat="1" x14ac:dyDescent="0.35"/>
    <row r="4921" s="13" customFormat="1" x14ac:dyDescent="0.35"/>
    <row r="4922" s="13" customFormat="1" x14ac:dyDescent="0.35"/>
    <row r="4923" s="13" customFormat="1" x14ac:dyDescent="0.35"/>
    <row r="4924" s="13" customFormat="1" x14ac:dyDescent="0.35"/>
    <row r="4925" s="13" customFormat="1" x14ac:dyDescent="0.35"/>
    <row r="4926" s="13" customFormat="1" x14ac:dyDescent="0.35"/>
    <row r="4927" s="13" customFormat="1" x14ac:dyDescent="0.35"/>
    <row r="4928" s="13" customFormat="1" x14ac:dyDescent="0.35"/>
    <row r="4929" s="13" customFormat="1" x14ac:dyDescent="0.35"/>
    <row r="4930" s="13" customFormat="1" x14ac:dyDescent="0.35"/>
    <row r="4931" s="13" customFormat="1" x14ac:dyDescent="0.35"/>
    <row r="4932" s="13" customFormat="1" x14ac:dyDescent="0.35"/>
    <row r="4933" s="13" customFormat="1" x14ac:dyDescent="0.35"/>
    <row r="4934" s="13" customFormat="1" x14ac:dyDescent="0.35"/>
    <row r="4935" s="13" customFormat="1" x14ac:dyDescent="0.35"/>
    <row r="4936" s="13" customFormat="1" x14ac:dyDescent="0.35"/>
    <row r="4937" s="13" customFormat="1" x14ac:dyDescent="0.35"/>
    <row r="4938" s="13" customFormat="1" x14ac:dyDescent="0.35"/>
    <row r="4939" s="13" customFormat="1" x14ac:dyDescent="0.35"/>
    <row r="4940" s="13" customFormat="1" x14ac:dyDescent="0.35"/>
    <row r="4941" s="13" customFormat="1" x14ac:dyDescent="0.35"/>
    <row r="4942" s="13" customFormat="1" x14ac:dyDescent="0.35"/>
    <row r="4943" s="13" customFormat="1" x14ac:dyDescent="0.35"/>
    <row r="4944" s="13" customFormat="1" x14ac:dyDescent="0.35"/>
    <row r="4945" s="13" customFormat="1" x14ac:dyDescent="0.35"/>
    <row r="4946" s="13" customFormat="1" x14ac:dyDescent="0.35"/>
    <row r="4947" s="13" customFormat="1" x14ac:dyDescent="0.35"/>
    <row r="4948" s="13" customFormat="1" x14ac:dyDescent="0.35"/>
    <row r="4949" s="13" customFormat="1" x14ac:dyDescent="0.35"/>
    <row r="4950" s="13" customFormat="1" x14ac:dyDescent="0.35"/>
    <row r="4951" s="13" customFormat="1" x14ac:dyDescent="0.35"/>
    <row r="4952" s="13" customFormat="1" x14ac:dyDescent="0.35"/>
    <row r="4953" s="13" customFormat="1" x14ac:dyDescent="0.35"/>
    <row r="4954" s="13" customFormat="1" x14ac:dyDescent="0.35"/>
    <row r="4955" s="13" customFormat="1" x14ac:dyDescent="0.35"/>
    <row r="4956" s="13" customFormat="1" x14ac:dyDescent="0.35"/>
    <row r="4957" s="13" customFormat="1" x14ac:dyDescent="0.35"/>
    <row r="4958" s="13" customFormat="1" x14ac:dyDescent="0.35"/>
    <row r="4959" s="13" customFormat="1" x14ac:dyDescent="0.35"/>
    <row r="4960" s="13" customFormat="1" x14ac:dyDescent="0.35"/>
    <row r="4961" s="13" customFormat="1" x14ac:dyDescent="0.35"/>
    <row r="4962" s="13" customFormat="1" x14ac:dyDescent="0.35"/>
    <row r="4963" s="13" customFormat="1" x14ac:dyDescent="0.35"/>
    <row r="4964" s="13" customFormat="1" x14ac:dyDescent="0.35"/>
    <row r="4965" s="13" customFormat="1" x14ac:dyDescent="0.35"/>
    <row r="4966" s="13" customFormat="1" x14ac:dyDescent="0.35"/>
    <row r="4967" s="13" customFormat="1" x14ac:dyDescent="0.35"/>
    <row r="4968" s="13" customFormat="1" x14ac:dyDescent="0.35"/>
    <row r="4969" s="13" customFormat="1" x14ac:dyDescent="0.35"/>
    <row r="4970" s="13" customFormat="1" x14ac:dyDescent="0.35"/>
    <row r="4971" s="13" customFormat="1" x14ac:dyDescent="0.35"/>
    <row r="4972" s="13" customFormat="1" x14ac:dyDescent="0.35"/>
    <row r="4973" s="13" customFormat="1" x14ac:dyDescent="0.35"/>
    <row r="4974" s="13" customFormat="1" x14ac:dyDescent="0.35"/>
    <row r="4975" s="13" customFormat="1" x14ac:dyDescent="0.35"/>
    <row r="4976" s="13" customFormat="1" x14ac:dyDescent="0.35"/>
    <row r="4977" s="13" customFormat="1" x14ac:dyDescent="0.35"/>
    <row r="4978" s="13" customFormat="1" x14ac:dyDescent="0.35"/>
    <row r="4979" s="13" customFormat="1" x14ac:dyDescent="0.35"/>
    <row r="4980" s="13" customFormat="1" x14ac:dyDescent="0.35"/>
    <row r="4981" s="13" customFormat="1" x14ac:dyDescent="0.35"/>
    <row r="4982" s="13" customFormat="1" x14ac:dyDescent="0.35"/>
    <row r="4983" s="13" customFormat="1" x14ac:dyDescent="0.35"/>
    <row r="4984" s="13" customFormat="1" x14ac:dyDescent="0.35"/>
    <row r="4985" s="13" customFormat="1" x14ac:dyDescent="0.35"/>
    <row r="4986" s="13" customFormat="1" x14ac:dyDescent="0.35"/>
    <row r="4987" s="13" customFormat="1" x14ac:dyDescent="0.35"/>
    <row r="4988" s="13" customFormat="1" x14ac:dyDescent="0.35"/>
    <row r="4989" s="13" customFormat="1" x14ac:dyDescent="0.35"/>
    <row r="4990" s="13" customFormat="1" x14ac:dyDescent="0.35"/>
    <row r="4991" s="13" customFormat="1" x14ac:dyDescent="0.35"/>
    <row r="4992" s="13" customFormat="1" x14ac:dyDescent="0.35"/>
    <row r="4993" s="13" customFormat="1" x14ac:dyDescent="0.35"/>
    <row r="4994" s="13" customFormat="1" x14ac:dyDescent="0.35"/>
    <row r="4995" s="13" customFormat="1" x14ac:dyDescent="0.35"/>
    <row r="4996" s="13" customFormat="1" x14ac:dyDescent="0.35"/>
    <row r="4997" s="13" customFormat="1" x14ac:dyDescent="0.35"/>
    <row r="4998" s="13" customFormat="1" x14ac:dyDescent="0.35"/>
    <row r="4999" s="13" customFormat="1" x14ac:dyDescent="0.35"/>
    <row r="5000" s="13" customFormat="1" x14ac:dyDescent="0.35"/>
    <row r="5001" s="13" customFormat="1" x14ac:dyDescent="0.35"/>
    <row r="5002" s="13" customFormat="1" x14ac:dyDescent="0.35"/>
    <row r="5003" s="13" customFormat="1" x14ac:dyDescent="0.35"/>
    <row r="5004" s="13" customFormat="1" x14ac:dyDescent="0.35"/>
    <row r="5005" s="13" customFormat="1" x14ac:dyDescent="0.35"/>
    <row r="5006" s="13" customFormat="1" x14ac:dyDescent="0.35"/>
    <row r="5007" s="13" customFormat="1" x14ac:dyDescent="0.35"/>
    <row r="5008" s="13" customFormat="1" x14ac:dyDescent="0.35"/>
    <row r="5009" s="13" customFormat="1" x14ac:dyDescent="0.35"/>
    <row r="5010" s="13" customFormat="1" x14ac:dyDescent="0.35"/>
    <row r="5011" s="13" customFormat="1" x14ac:dyDescent="0.35"/>
    <row r="5012" s="13" customFormat="1" x14ac:dyDescent="0.35"/>
    <row r="5013" s="13" customFormat="1" x14ac:dyDescent="0.35"/>
    <row r="5014" s="13" customFormat="1" x14ac:dyDescent="0.35"/>
    <row r="5015" s="13" customFormat="1" x14ac:dyDescent="0.35"/>
    <row r="5016" s="13" customFormat="1" x14ac:dyDescent="0.35"/>
    <row r="5017" s="13" customFormat="1" x14ac:dyDescent="0.35"/>
    <row r="5018" s="13" customFormat="1" x14ac:dyDescent="0.35"/>
    <row r="5019" s="13" customFormat="1" x14ac:dyDescent="0.35"/>
    <row r="5020" s="13" customFormat="1" x14ac:dyDescent="0.35"/>
    <row r="5021" s="13" customFormat="1" x14ac:dyDescent="0.35"/>
    <row r="5022" s="13" customFormat="1" x14ac:dyDescent="0.35"/>
    <row r="5023" s="13" customFormat="1" x14ac:dyDescent="0.35"/>
    <row r="5024" s="13" customFormat="1" x14ac:dyDescent="0.35"/>
    <row r="5025" s="13" customFormat="1" x14ac:dyDescent="0.35"/>
    <row r="5026" s="13" customFormat="1" x14ac:dyDescent="0.35"/>
    <row r="5027" s="13" customFormat="1" x14ac:dyDescent="0.35"/>
    <row r="5028" s="13" customFormat="1" x14ac:dyDescent="0.35"/>
    <row r="5029" s="13" customFormat="1" x14ac:dyDescent="0.35"/>
    <row r="5030" s="13" customFormat="1" x14ac:dyDescent="0.35"/>
    <row r="5031" s="13" customFormat="1" x14ac:dyDescent="0.35"/>
    <row r="5032" s="13" customFormat="1" x14ac:dyDescent="0.35"/>
    <row r="5033" s="13" customFormat="1" x14ac:dyDescent="0.35"/>
    <row r="5034" s="13" customFormat="1" x14ac:dyDescent="0.35"/>
    <row r="5035" s="13" customFormat="1" x14ac:dyDescent="0.35"/>
    <row r="5036" s="13" customFormat="1" x14ac:dyDescent="0.35"/>
    <row r="5037" s="13" customFormat="1" x14ac:dyDescent="0.35"/>
    <row r="5038" s="13" customFormat="1" x14ac:dyDescent="0.35"/>
    <row r="5039" s="13" customFormat="1" x14ac:dyDescent="0.35"/>
    <row r="5040" s="13" customFormat="1" x14ac:dyDescent="0.35"/>
    <row r="5041" s="13" customFormat="1" x14ac:dyDescent="0.35"/>
    <row r="5042" s="13" customFormat="1" x14ac:dyDescent="0.35"/>
    <row r="5043" s="13" customFormat="1" x14ac:dyDescent="0.35"/>
    <row r="5044" s="13" customFormat="1" x14ac:dyDescent="0.35"/>
    <row r="5045" s="13" customFormat="1" x14ac:dyDescent="0.35"/>
    <row r="5046" s="13" customFormat="1" x14ac:dyDescent="0.35"/>
    <row r="5047" s="13" customFormat="1" x14ac:dyDescent="0.35"/>
    <row r="5048" s="13" customFormat="1" x14ac:dyDescent="0.35"/>
    <row r="5049" s="13" customFormat="1" x14ac:dyDescent="0.35"/>
    <row r="5050" s="13" customFormat="1" x14ac:dyDescent="0.35"/>
    <row r="5051" s="13" customFormat="1" x14ac:dyDescent="0.35"/>
    <row r="5052" s="13" customFormat="1" x14ac:dyDescent="0.35"/>
    <row r="5053" s="13" customFormat="1" x14ac:dyDescent="0.35"/>
    <row r="5054" s="13" customFormat="1" x14ac:dyDescent="0.35"/>
    <row r="5055" s="13" customFormat="1" x14ac:dyDescent="0.35"/>
    <row r="5056" s="13" customFormat="1" x14ac:dyDescent="0.35"/>
    <row r="5057" s="13" customFormat="1" x14ac:dyDescent="0.35"/>
    <row r="5058" s="13" customFormat="1" x14ac:dyDescent="0.35"/>
    <row r="5059" s="13" customFormat="1" x14ac:dyDescent="0.35"/>
    <row r="5060" s="13" customFormat="1" x14ac:dyDescent="0.35"/>
    <row r="5061" s="13" customFormat="1" x14ac:dyDescent="0.35"/>
    <row r="5062" s="13" customFormat="1" x14ac:dyDescent="0.35"/>
    <row r="5063" s="13" customFormat="1" x14ac:dyDescent="0.35"/>
    <row r="5064" s="13" customFormat="1" x14ac:dyDescent="0.35"/>
    <row r="5065" s="13" customFormat="1" x14ac:dyDescent="0.35"/>
    <row r="5066" s="13" customFormat="1" x14ac:dyDescent="0.35"/>
    <row r="5067" s="13" customFormat="1" x14ac:dyDescent="0.35"/>
    <row r="5068" s="13" customFormat="1" x14ac:dyDescent="0.35"/>
    <row r="5069" s="13" customFormat="1" x14ac:dyDescent="0.35"/>
    <row r="5070" s="13" customFormat="1" x14ac:dyDescent="0.35"/>
    <row r="5071" s="13" customFormat="1" x14ac:dyDescent="0.35"/>
    <row r="5072" s="13" customFormat="1" x14ac:dyDescent="0.35"/>
    <row r="5073" s="13" customFormat="1" x14ac:dyDescent="0.35"/>
    <row r="5074" s="13" customFormat="1" x14ac:dyDescent="0.35"/>
    <row r="5075" s="13" customFormat="1" x14ac:dyDescent="0.35"/>
    <row r="5076" s="13" customFormat="1" x14ac:dyDescent="0.35"/>
    <row r="5077" s="13" customFormat="1" x14ac:dyDescent="0.35"/>
    <row r="5078" s="13" customFormat="1" x14ac:dyDescent="0.35"/>
    <row r="5079" s="13" customFormat="1" x14ac:dyDescent="0.35"/>
    <row r="5080" s="13" customFormat="1" x14ac:dyDescent="0.35"/>
    <row r="5081" s="13" customFormat="1" x14ac:dyDescent="0.35"/>
    <row r="5082" s="13" customFormat="1" x14ac:dyDescent="0.35"/>
    <row r="5083" s="13" customFormat="1" x14ac:dyDescent="0.35"/>
    <row r="5084" s="13" customFormat="1" x14ac:dyDescent="0.35"/>
    <row r="5085" s="13" customFormat="1" x14ac:dyDescent="0.35"/>
    <row r="5086" s="13" customFormat="1" x14ac:dyDescent="0.35"/>
    <row r="5087" s="13" customFormat="1" x14ac:dyDescent="0.35"/>
    <row r="5088" s="13" customFormat="1" x14ac:dyDescent="0.35"/>
    <row r="5089" s="13" customFormat="1" x14ac:dyDescent="0.35"/>
    <row r="5090" s="13" customFormat="1" x14ac:dyDescent="0.35"/>
    <row r="5091" s="13" customFormat="1" x14ac:dyDescent="0.35"/>
    <row r="5092" s="13" customFormat="1" x14ac:dyDescent="0.35"/>
    <row r="5093" s="13" customFormat="1" x14ac:dyDescent="0.35"/>
    <row r="5094" s="13" customFormat="1" x14ac:dyDescent="0.35"/>
    <row r="5095" s="13" customFormat="1" x14ac:dyDescent="0.35"/>
    <row r="5096" s="13" customFormat="1" x14ac:dyDescent="0.35"/>
    <row r="5097" s="13" customFormat="1" x14ac:dyDescent="0.35"/>
    <row r="5098" s="13" customFormat="1" x14ac:dyDescent="0.35"/>
    <row r="5099" s="13" customFormat="1" x14ac:dyDescent="0.35"/>
    <row r="5100" s="13" customFormat="1" x14ac:dyDescent="0.35"/>
    <row r="5101" s="13" customFormat="1" x14ac:dyDescent="0.35"/>
    <row r="5102" s="13" customFormat="1" x14ac:dyDescent="0.35"/>
    <row r="5103" s="13" customFormat="1" x14ac:dyDescent="0.35"/>
    <row r="5104" s="13" customFormat="1" x14ac:dyDescent="0.35"/>
    <row r="5105" s="13" customFormat="1" x14ac:dyDescent="0.35"/>
    <row r="5106" s="13" customFormat="1" x14ac:dyDescent="0.35"/>
    <row r="5107" s="13" customFormat="1" x14ac:dyDescent="0.35"/>
    <row r="5108" s="13" customFormat="1" x14ac:dyDescent="0.35"/>
    <row r="5109" s="13" customFormat="1" x14ac:dyDescent="0.35"/>
    <row r="5110" s="13" customFormat="1" x14ac:dyDescent="0.35"/>
    <row r="5111" s="13" customFormat="1" x14ac:dyDescent="0.35"/>
    <row r="5112" s="13" customFormat="1" x14ac:dyDescent="0.35"/>
    <row r="5113" s="13" customFormat="1" x14ac:dyDescent="0.35"/>
    <row r="5114" s="13" customFormat="1" x14ac:dyDescent="0.35"/>
    <row r="5115" s="13" customFormat="1" x14ac:dyDescent="0.35"/>
    <row r="5116" s="13" customFormat="1" x14ac:dyDescent="0.35"/>
    <row r="5117" s="13" customFormat="1" x14ac:dyDescent="0.35"/>
    <row r="5118" s="13" customFormat="1" x14ac:dyDescent="0.35"/>
    <row r="5119" s="13" customFormat="1" x14ac:dyDescent="0.35"/>
    <row r="5120" s="13" customFormat="1" x14ac:dyDescent="0.35"/>
    <row r="5121" s="13" customFormat="1" x14ac:dyDescent="0.35"/>
    <row r="5122" s="13" customFormat="1" x14ac:dyDescent="0.35"/>
    <row r="5123" s="13" customFormat="1" x14ac:dyDescent="0.35"/>
    <row r="5124" s="13" customFormat="1" x14ac:dyDescent="0.35"/>
    <row r="5125" s="13" customFormat="1" x14ac:dyDescent="0.35"/>
    <row r="5126" s="13" customFormat="1" x14ac:dyDescent="0.35"/>
    <row r="5127" s="13" customFormat="1" x14ac:dyDescent="0.35"/>
    <row r="5128" s="13" customFormat="1" x14ac:dyDescent="0.35"/>
    <row r="5129" s="13" customFormat="1" x14ac:dyDescent="0.35"/>
    <row r="5130" s="13" customFormat="1" x14ac:dyDescent="0.35"/>
    <row r="5131" s="13" customFormat="1" x14ac:dyDescent="0.35"/>
    <row r="5132" s="13" customFormat="1" x14ac:dyDescent="0.35"/>
    <row r="5133" s="13" customFormat="1" x14ac:dyDescent="0.35"/>
    <row r="5134" s="13" customFormat="1" x14ac:dyDescent="0.35"/>
    <row r="5135" s="13" customFormat="1" x14ac:dyDescent="0.35"/>
    <row r="5136" s="13" customFormat="1" x14ac:dyDescent="0.35"/>
    <row r="5137" s="13" customFormat="1" x14ac:dyDescent="0.35"/>
    <row r="5138" s="13" customFormat="1" x14ac:dyDescent="0.35"/>
    <row r="5139" s="13" customFormat="1" x14ac:dyDescent="0.35"/>
    <row r="5140" s="13" customFormat="1" x14ac:dyDescent="0.35"/>
    <row r="5141" s="13" customFormat="1" x14ac:dyDescent="0.35"/>
    <row r="5142" s="13" customFormat="1" x14ac:dyDescent="0.35"/>
    <row r="5143" s="13" customFormat="1" x14ac:dyDescent="0.35"/>
    <row r="5144" s="13" customFormat="1" x14ac:dyDescent="0.35"/>
    <row r="5145" s="13" customFormat="1" x14ac:dyDescent="0.35"/>
    <row r="5146" s="13" customFormat="1" x14ac:dyDescent="0.35"/>
    <row r="5147" s="13" customFormat="1" x14ac:dyDescent="0.35"/>
    <row r="5148" s="13" customFormat="1" x14ac:dyDescent="0.35"/>
    <row r="5149" s="13" customFormat="1" x14ac:dyDescent="0.35"/>
    <row r="5150" s="13" customFormat="1" x14ac:dyDescent="0.35"/>
    <row r="5151" s="13" customFormat="1" x14ac:dyDescent="0.35"/>
    <row r="5152" s="13" customFormat="1" x14ac:dyDescent="0.35"/>
    <row r="5153" s="13" customFormat="1" x14ac:dyDescent="0.35"/>
    <row r="5154" s="13" customFormat="1" x14ac:dyDescent="0.35"/>
    <row r="5155" s="13" customFormat="1" x14ac:dyDescent="0.35"/>
    <row r="5156" s="13" customFormat="1" x14ac:dyDescent="0.35"/>
    <row r="5157" s="13" customFormat="1" x14ac:dyDescent="0.35"/>
    <row r="5158" s="13" customFormat="1" x14ac:dyDescent="0.35"/>
    <row r="5159" s="13" customFormat="1" x14ac:dyDescent="0.35"/>
    <row r="5160" s="13" customFormat="1" x14ac:dyDescent="0.35"/>
    <row r="5161" s="13" customFormat="1" x14ac:dyDescent="0.35"/>
    <row r="5162" s="13" customFormat="1" x14ac:dyDescent="0.35"/>
    <row r="5163" s="13" customFormat="1" x14ac:dyDescent="0.35"/>
    <row r="5164" s="13" customFormat="1" x14ac:dyDescent="0.35"/>
    <row r="5165" s="13" customFormat="1" x14ac:dyDescent="0.35"/>
    <row r="5166" s="13" customFormat="1" x14ac:dyDescent="0.35"/>
    <row r="5167" s="13" customFormat="1" x14ac:dyDescent="0.35"/>
    <row r="5168" s="13" customFormat="1" x14ac:dyDescent="0.35"/>
    <row r="5169" s="13" customFormat="1" x14ac:dyDescent="0.35"/>
    <row r="5170" s="13" customFormat="1" x14ac:dyDescent="0.35"/>
    <row r="5171" s="13" customFormat="1" x14ac:dyDescent="0.35"/>
    <row r="5172" s="13" customFormat="1" x14ac:dyDescent="0.35"/>
    <row r="5173" s="13" customFormat="1" x14ac:dyDescent="0.35"/>
    <row r="5174" s="13" customFormat="1" x14ac:dyDescent="0.35"/>
    <row r="5175" s="13" customFormat="1" x14ac:dyDescent="0.35"/>
    <row r="5176" s="13" customFormat="1" x14ac:dyDescent="0.35"/>
    <row r="5177" s="13" customFormat="1" x14ac:dyDescent="0.35"/>
    <row r="5178" s="13" customFormat="1" x14ac:dyDescent="0.35"/>
    <row r="5179" s="13" customFormat="1" x14ac:dyDescent="0.35"/>
    <row r="5180" s="13" customFormat="1" x14ac:dyDescent="0.35"/>
    <row r="5181" s="13" customFormat="1" x14ac:dyDescent="0.35"/>
    <row r="5182" s="13" customFormat="1" x14ac:dyDescent="0.35"/>
    <row r="5183" s="13" customFormat="1" x14ac:dyDescent="0.35"/>
    <row r="5184" s="13" customFormat="1" x14ac:dyDescent="0.35"/>
    <row r="5185" s="13" customFormat="1" x14ac:dyDescent="0.35"/>
    <row r="5186" s="13" customFormat="1" x14ac:dyDescent="0.35"/>
    <row r="5187" s="13" customFormat="1" x14ac:dyDescent="0.35"/>
    <row r="5188" s="13" customFormat="1" x14ac:dyDescent="0.35"/>
    <row r="5189" s="13" customFormat="1" x14ac:dyDescent="0.35"/>
    <row r="5190" s="13" customFormat="1" x14ac:dyDescent="0.35"/>
    <row r="5191" s="13" customFormat="1" x14ac:dyDescent="0.35"/>
    <row r="5192" s="13" customFormat="1" x14ac:dyDescent="0.35"/>
    <row r="5193" s="13" customFormat="1" x14ac:dyDescent="0.35"/>
    <row r="5194" s="13" customFormat="1" x14ac:dyDescent="0.35"/>
    <row r="5195" s="13" customFormat="1" x14ac:dyDescent="0.35"/>
    <row r="5196" s="13" customFormat="1" x14ac:dyDescent="0.35"/>
    <row r="5197" s="13" customFormat="1" x14ac:dyDescent="0.35"/>
    <row r="5198" s="13" customFormat="1" x14ac:dyDescent="0.35"/>
    <row r="5199" s="13" customFormat="1" x14ac:dyDescent="0.35"/>
    <row r="5200" s="13" customFormat="1" x14ac:dyDescent="0.35"/>
    <row r="5201" s="13" customFormat="1" x14ac:dyDescent="0.35"/>
    <row r="5202" s="13" customFormat="1" x14ac:dyDescent="0.35"/>
    <row r="5203" s="13" customFormat="1" x14ac:dyDescent="0.35"/>
    <row r="5204" s="13" customFormat="1" x14ac:dyDescent="0.35"/>
    <row r="5205" s="13" customFormat="1" x14ac:dyDescent="0.35"/>
    <row r="5206" s="13" customFormat="1" x14ac:dyDescent="0.35"/>
    <row r="5207" s="13" customFormat="1" x14ac:dyDescent="0.35"/>
    <row r="5208" s="13" customFormat="1" x14ac:dyDescent="0.35"/>
    <row r="5209" s="13" customFormat="1" x14ac:dyDescent="0.35"/>
    <row r="5210" s="13" customFormat="1" x14ac:dyDescent="0.35"/>
    <row r="5211" s="13" customFormat="1" x14ac:dyDescent="0.35"/>
    <row r="5212" s="13" customFormat="1" x14ac:dyDescent="0.35"/>
    <row r="5213" s="13" customFormat="1" x14ac:dyDescent="0.35"/>
    <row r="5214" s="13" customFormat="1" x14ac:dyDescent="0.35"/>
    <row r="5215" s="13" customFormat="1" x14ac:dyDescent="0.35"/>
    <row r="5216" s="13" customFormat="1" x14ac:dyDescent="0.35"/>
    <row r="5217" s="13" customFormat="1" x14ac:dyDescent="0.35"/>
    <row r="5218" s="13" customFormat="1" x14ac:dyDescent="0.35"/>
    <row r="5219" s="13" customFormat="1" x14ac:dyDescent="0.35"/>
    <row r="5220" s="13" customFormat="1" x14ac:dyDescent="0.35"/>
    <row r="5221" s="13" customFormat="1" x14ac:dyDescent="0.35"/>
    <row r="5222" s="13" customFormat="1" x14ac:dyDescent="0.35"/>
    <row r="5223" s="13" customFormat="1" x14ac:dyDescent="0.35"/>
    <row r="5224" s="13" customFormat="1" x14ac:dyDescent="0.35"/>
    <row r="5225" s="13" customFormat="1" x14ac:dyDescent="0.35"/>
    <row r="5226" s="13" customFormat="1" x14ac:dyDescent="0.35"/>
    <row r="5227" s="13" customFormat="1" x14ac:dyDescent="0.35"/>
    <row r="5228" s="13" customFormat="1" x14ac:dyDescent="0.35"/>
    <row r="5229" s="13" customFormat="1" x14ac:dyDescent="0.35"/>
    <row r="5230" s="13" customFormat="1" x14ac:dyDescent="0.35"/>
    <row r="5231" s="13" customFormat="1" x14ac:dyDescent="0.35"/>
    <row r="5232" s="13" customFormat="1" x14ac:dyDescent="0.35"/>
    <row r="5233" s="13" customFormat="1" x14ac:dyDescent="0.35"/>
    <row r="5234" s="13" customFormat="1" x14ac:dyDescent="0.35"/>
    <row r="5235" s="13" customFormat="1" x14ac:dyDescent="0.35"/>
    <row r="5236" s="13" customFormat="1" x14ac:dyDescent="0.35"/>
    <row r="5237" s="13" customFormat="1" x14ac:dyDescent="0.35"/>
    <row r="5238" s="13" customFormat="1" x14ac:dyDescent="0.35"/>
    <row r="5239" s="13" customFormat="1" x14ac:dyDescent="0.35"/>
    <row r="5240" s="13" customFormat="1" x14ac:dyDescent="0.35"/>
    <row r="5241" s="13" customFormat="1" x14ac:dyDescent="0.35"/>
    <row r="5242" s="13" customFormat="1" x14ac:dyDescent="0.35"/>
    <row r="5243" s="13" customFormat="1" x14ac:dyDescent="0.35"/>
    <row r="5244" s="13" customFormat="1" x14ac:dyDescent="0.35"/>
    <row r="5245" s="13" customFormat="1" x14ac:dyDescent="0.35"/>
    <row r="5246" s="13" customFormat="1" x14ac:dyDescent="0.35"/>
    <row r="5247" s="13" customFormat="1" x14ac:dyDescent="0.35"/>
    <row r="5248" s="13" customFormat="1" x14ac:dyDescent="0.35"/>
    <row r="5249" s="13" customFormat="1" x14ac:dyDescent="0.35"/>
    <row r="5250" s="13" customFormat="1" x14ac:dyDescent="0.35"/>
    <row r="5251" s="13" customFormat="1" x14ac:dyDescent="0.35"/>
    <row r="5252" s="13" customFormat="1" x14ac:dyDescent="0.35"/>
    <row r="5253" s="13" customFormat="1" x14ac:dyDescent="0.35"/>
    <row r="5254" s="13" customFormat="1" x14ac:dyDescent="0.35"/>
    <row r="5255" s="13" customFormat="1" x14ac:dyDescent="0.35"/>
    <row r="5256" s="13" customFormat="1" x14ac:dyDescent="0.35"/>
    <row r="5257" s="13" customFormat="1" x14ac:dyDescent="0.35"/>
    <row r="5258" s="13" customFormat="1" x14ac:dyDescent="0.35"/>
    <row r="5259" s="13" customFormat="1" x14ac:dyDescent="0.35"/>
    <row r="5260" s="13" customFormat="1" x14ac:dyDescent="0.35"/>
    <row r="5261" s="13" customFormat="1" x14ac:dyDescent="0.35"/>
    <row r="5262" s="13" customFormat="1" x14ac:dyDescent="0.35"/>
    <row r="5263" s="13" customFormat="1" x14ac:dyDescent="0.35"/>
    <row r="5264" s="13" customFormat="1" x14ac:dyDescent="0.35"/>
    <row r="5265" s="13" customFormat="1" x14ac:dyDescent="0.35"/>
    <row r="5266" s="13" customFormat="1" x14ac:dyDescent="0.35"/>
    <row r="5267" s="13" customFormat="1" x14ac:dyDescent="0.35"/>
    <row r="5268" s="13" customFormat="1" x14ac:dyDescent="0.35"/>
    <row r="5269" s="13" customFormat="1" x14ac:dyDescent="0.35"/>
    <row r="5270" s="13" customFormat="1" x14ac:dyDescent="0.35"/>
    <row r="5271" s="13" customFormat="1" x14ac:dyDescent="0.35"/>
    <row r="5272" s="13" customFormat="1" x14ac:dyDescent="0.35"/>
    <row r="5273" s="13" customFormat="1" x14ac:dyDescent="0.35"/>
    <row r="5274" s="13" customFormat="1" x14ac:dyDescent="0.35"/>
    <row r="5275" s="13" customFormat="1" x14ac:dyDescent="0.35"/>
    <row r="5276" s="13" customFormat="1" x14ac:dyDescent="0.35"/>
    <row r="5277" s="13" customFormat="1" x14ac:dyDescent="0.35"/>
    <row r="5278" s="13" customFormat="1" x14ac:dyDescent="0.35"/>
    <row r="5279" s="13" customFormat="1" x14ac:dyDescent="0.35"/>
    <row r="5280" s="13" customFormat="1" x14ac:dyDescent="0.35"/>
    <row r="5281" s="13" customFormat="1" x14ac:dyDescent="0.35"/>
    <row r="5282" s="13" customFormat="1" x14ac:dyDescent="0.35"/>
    <row r="5283" s="13" customFormat="1" x14ac:dyDescent="0.35"/>
    <row r="5284" s="13" customFormat="1" x14ac:dyDescent="0.35"/>
    <row r="5285" s="13" customFormat="1" x14ac:dyDescent="0.35"/>
    <row r="5286" s="13" customFormat="1" x14ac:dyDescent="0.35"/>
    <row r="5287" s="13" customFormat="1" x14ac:dyDescent="0.35"/>
    <row r="5288" s="13" customFormat="1" x14ac:dyDescent="0.35"/>
    <row r="5289" s="13" customFormat="1" x14ac:dyDescent="0.35"/>
    <row r="5290" s="13" customFormat="1" x14ac:dyDescent="0.35"/>
    <row r="5291" s="13" customFormat="1" x14ac:dyDescent="0.35"/>
    <row r="5292" s="13" customFormat="1" x14ac:dyDescent="0.35"/>
    <row r="5293" s="13" customFormat="1" x14ac:dyDescent="0.35"/>
    <row r="5294" s="13" customFormat="1" x14ac:dyDescent="0.35"/>
    <row r="5295" s="13" customFormat="1" x14ac:dyDescent="0.35"/>
    <row r="5296" s="13" customFormat="1" x14ac:dyDescent="0.35"/>
    <row r="5297" s="13" customFormat="1" x14ac:dyDescent="0.35"/>
    <row r="5298" s="13" customFormat="1" x14ac:dyDescent="0.35"/>
    <row r="5299" s="13" customFormat="1" x14ac:dyDescent="0.35"/>
    <row r="5300" s="13" customFormat="1" x14ac:dyDescent="0.35"/>
    <row r="5301" s="13" customFormat="1" x14ac:dyDescent="0.35"/>
    <row r="5302" s="13" customFormat="1" x14ac:dyDescent="0.35"/>
    <row r="5303" s="13" customFormat="1" x14ac:dyDescent="0.35"/>
    <row r="5304" s="13" customFormat="1" x14ac:dyDescent="0.35"/>
    <row r="5305" s="13" customFormat="1" x14ac:dyDescent="0.35"/>
    <row r="5306" s="13" customFormat="1" x14ac:dyDescent="0.35"/>
    <row r="5307" s="13" customFormat="1" x14ac:dyDescent="0.35"/>
    <row r="5308" s="13" customFormat="1" x14ac:dyDescent="0.35"/>
    <row r="5309" s="13" customFormat="1" x14ac:dyDescent="0.35"/>
    <row r="5310" s="13" customFormat="1" x14ac:dyDescent="0.35"/>
    <row r="5311" s="13" customFormat="1" x14ac:dyDescent="0.35"/>
    <row r="5312" s="13" customFormat="1" x14ac:dyDescent="0.35"/>
    <row r="5313" s="13" customFormat="1" x14ac:dyDescent="0.35"/>
    <row r="5314" s="13" customFormat="1" x14ac:dyDescent="0.35"/>
    <row r="5315" s="13" customFormat="1" x14ac:dyDescent="0.35"/>
    <row r="5316" s="13" customFormat="1" x14ac:dyDescent="0.35"/>
    <row r="5317" s="13" customFormat="1" x14ac:dyDescent="0.35"/>
    <row r="5318" s="13" customFormat="1" x14ac:dyDescent="0.35"/>
    <row r="5319" s="13" customFormat="1" x14ac:dyDescent="0.35"/>
    <row r="5320" s="13" customFormat="1" x14ac:dyDescent="0.35"/>
    <row r="5321" s="13" customFormat="1" x14ac:dyDescent="0.35"/>
    <row r="5322" s="13" customFormat="1" x14ac:dyDescent="0.35"/>
    <row r="5323" s="13" customFormat="1" x14ac:dyDescent="0.35"/>
    <row r="5324" s="13" customFormat="1" x14ac:dyDescent="0.35"/>
    <row r="5325" s="13" customFormat="1" x14ac:dyDescent="0.35"/>
    <row r="5326" s="13" customFormat="1" x14ac:dyDescent="0.35"/>
    <row r="5327" s="13" customFormat="1" x14ac:dyDescent="0.35"/>
    <row r="5328" s="13" customFormat="1" x14ac:dyDescent="0.35"/>
    <row r="5329" s="13" customFormat="1" x14ac:dyDescent="0.35"/>
    <row r="5330" s="13" customFormat="1" x14ac:dyDescent="0.35"/>
    <row r="5331" s="13" customFormat="1" x14ac:dyDescent="0.35"/>
    <row r="5332" s="13" customFormat="1" x14ac:dyDescent="0.35"/>
    <row r="5333" s="13" customFormat="1" x14ac:dyDescent="0.35"/>
    <row r="5334" s="13" customFormat="1" x14ac:dyDescent="0.35"/>
    <row r="5335" s="13" customFormat="1" x14ac:dyDescent="0.35"/>
    <row r="5336" s="13" customFormat="1" x14ac:dyDescent="0.35"/>
    <row r="5337" s="13" customFormat="1" x14ac:dyDescent="0.35"/>
    <row r="5338" s="13" customFormat="1" x14ac:dyDescent="0.35"/>
    <row r="5339" s="13" customFormat="1" x14ac:dyDescent="0.35"/>
    <row r="5340" s="13" customFormat="1" x14ac:dyDescent="0.35"/>
    <row r="5341" s="13" customFormat="1" x14ac:dyDescent="0.35"/>
    <row r="5342" s="13" customFormat="1" x14ac:dyDescent="0.35"/>
    <row r="5343" s="13" customFormat="1" x14ac:dyDescent="0.35"/>
    <row r="5344" s="13" customFormat="1" x14ac:dyDescent="0.35"/>
    <row r="5345" s="13" customFormat="1" x14ac:dyDescent="0.35"/>
    <row r="5346" s="13" customFormat="1" x14ac:dyDescent="0.35"/>
    <row r="5347" s="13" customFormat="1" x14ac:dyDescent="0.35"/>
    <row r="5348" s="13" customFormat="1" x14ac:dyDescent="0.35"/>
    <row r="5349" s="13" customFormat="1" x14ac:dyDescent="0.35"/>
    <row r="5350" s="13" customFormat="1" x14ac:dyDescent="0.35"/>
    <row r="5351" s="13" customFormat="1" x14ac:dyDescent="0.35"/>
    <row r="5352" s="13" customFormat="1" x14ac:dyDescent="0.35"/>
    <row r="5353" s="13" customFormat="1" x14ac:dyDescent="0.35"/>
    <row r="5354" s="13" customFormat="1" x14ac:dyDescent="0.35"/>
    <row r="5355" s="13" customFormat="1" x14ac:dyDescent="0.35"/>
    <row r="5356" s="13" customFormat="1" x14ac:dyDescent="0.35"/>
    <row r="5357" s="13" customFormat="1" x14ac:dyDescent="0.35"/>
    <row r="5358" s="13" customFormat="1" x14ac:dyDescent="0.35"/>
    <row r="5359" s="13" customFormat="1" x14ac:dyDescent="0.35"/>
    <row r="5360" s="13" customFormat="1" x14ac:dyDescent="0.35"/>
    <row r="5361" s="13" customFormat="1" x14ac:dyDescent="0.35"/>
    <row r="5362" s="13" customFormat="1" x14ac:dyDescent="0.35"/>
    <row r="5363" s="13" customFormat="1" x14ac:dyDescent="0.35"/>
    <row r="5364" s="13" customFormat="1" x14ac:dyDescent="0.35"/>
    <row r="5365" s="13" customFormat="1" x14ac:dyDescent="0.35"/>
    <row r="5366" s="13" customFormat="1" x14ac:dyDescent="0.35"/>
    <row r="5367" s="13" customFormat="1" x14ac:dyDescent="0.35"/>
    <row r="5368" s="13" customFormat="1" x14ac:dyDescent="0.35"/>
    <row r="5369" s="13" customFormat="1" x14ac:dyDescent="0.35"/>
    <row r="5370" s="13" customFormat="1" x14ac:dyDescent="0.35"/>
    <row r="5371" s="13" customFormat="1" x14ac:dyDescent="0.35"/>
    <row r="5372" s="13" customFormat="1" x14ac:dyDescent="0.35"/>
    <row r="5373" s="13" customFormat="1" x14ac:dyDescent="0.35"/>
    <row r="5374" s="13" customFormat="1" x14ac:dyDescent="0.35"/>
    <row r="5375" s="13" customFormat="1" x14ac:dyDescent="0.35"/>
    <row r="5376" s="13" customFormat="1" x14ac:dyDescent="0.35"/>
    <row r="5377" s="13" customFormat="1" x14ac:dyDescent="0.35"/>
    <row r="5378" s="13" customFormat="1" x14ac:dyDescent="0.35"/>
    <row r="5379" s="13" customFormat="1" x14ac:dyDescent="0.35"/>
    <row r="5380" s="13" customFormat="1" x14ac:dyDescent="0.35"/>
    <row r="5381" s="13" customFormat="1" x14ac:dyDescent="0.35"/>
    <row r="5382" s="13" customFormat="1" x14ac:dyDescent="0.35"/>
    <row r="5383" s="13" customFormat="1" x14ac:dyDescent="0.35"/>
    <row r="5384" s="13" customFormat="1" x14ac:dyDescent="0.35"/>
    <row r="5385" s="13" customFormat="1" x14ac:dyDescent="0.35"/>
    <row r="5386" s="13" customFormat="1" x14ac:dyDescent="0.35"/>
    <row r="5387" s="13" customFormat="1" x14ac:dyDescent="0.35"/>
    <row r="5388" s="13" customFormat="1" x14ac:dyDescent="0.35"/>
    <row r="5389" s="13" customFormat="1" x14ac:dyDescent="0.35"/>
    <row r="5390" s="13" customFormat="1" x14ac:dyDescent="0.35"/>
    <row r="5391" s="13" customFormat="1" x14ac:dyDescent="0.35"/>
    <row r="5392" s="13" customFormat="1" x14ac:dyDescent="0.35"/>
    <row r="5393" s="13" customFormat="1" x14ac:dyDescent="0.35"/>
    <row r="5394" s="13" customFormat="1" x14ac:dyDescent="0.35"/>
    <row r="5395" s="13" customFormat="1" x14ac:dyDescent="0.35"/>
    <row r="5396" s="13" customFormat="1" x14ac:dyDescent="0.35"/>
    <row r="5397" s="13" customFormat="1" x14ac:dyDescent="0.35"/>
    <row r="5398" s="13" customFormat="1" x14ac:dyDescent="0.35"/>
    <row r="5399" s="13" customFormat="1" x14ac:dyDescent="0.35"/>
    <row r="5400" s="13" customFormat="1" x14ac:dyDescent="0.35"/>
    <row r="5401" s="13" customFormat="1" x14ac:dyDescent="0.35"/>
    <row r="5402" s="13" customFormat="1" x14ac:dyDescent="0.35"/>
    <row r="5403" s="13" customFormat="1" x14ac:dyDescent="0.35"/>
    <row r="5404" s="13" customFormat="1" x14ac:dyDescent="0.35"/>
    <row r="5405" s="13" customFormat="1" x14ac:dyDescent="0.35"/>
    <row r="5406" s="13" customFormat="1" x14ac:dyDescent="0.35"/>
    <row r="5407" s="13" customFormat="1" x14ac:dyDescent="0.35"/>
    <row r="5408" s="13" customFormat="1" x14ac:dyDescent="0.35"/>
    <row r="5409" s="13" customFormat="1" x14ac:dyDescent="0.35"/>
    <row r="5410" s="13" customFormat="1" x14ac:dyDescent="0.35"/>
    <row r="5411" s="13" customFormat="1" x14ac:dyDescent="0.35"/>
    <row r="5412" s="13" customFormat="1" x14ac:dyDescent="0.35"/>
    <row r="5413" s="13" customFormat="1" x14ac:dyDescent="0.35"/>
    <row r="5414" s="13" customFormat="1" x14ac:dyDescent="0.35"/>
    <row r="5415" s="13" customFormat="1" x14ac:dyDescent="0.35"/>
    <row r="5416" s="13" customFormat="1" x14ac:dyDescent="0.35"/>
    <row r="5417" s="13" customFormat="1" x14ac:dyDescent="0.35"/>
    <row r="5418" s="13" customFormat="1" x14ac:dyDescent="0.35"/>
    <row r="5419" s="13" customFormat="1" x14ac:dyDescent="0.35"/>
    <row r="5420" s="13" customFormat="1" x14ac:dyDescent="0.35"/>
    <row r="5421" s="13" customFormat="1" x14ac:dyDescent="0.35"/>
    <row r="5422" s="13" customFormat="1" x14ac:dyDescent="0.35"/>
    <row r="5423" s="13" customFormat="1" x14ac:dyDescent="0.35"/>
    <row r="5424" s="13" customFormat="1" x14ac:dyDescent="0.35"/>
    <row r="5425" s="13" customFormat="1" x14ac:dyDescent="0.35"/>
    <row r="5426" s="13" customFormat="1" x14ac:dyDescent="0.35"/>
    <row r="5427" s="13" customFormat="1" x14ac:dyDescent="0.35"/>
    <row r="5428" s="13" customFormat="1" x14ac:dyDescent="0.35"/>
    <row r="5429" s="13" customFormat="1" x14ac:dyDescent="0.35"/>
    <row r="5430" s="13" customFormat="1" x14ac:dyDescent="0.35"/>
    <row r="5431" s="13" customFormat="1" x14ac:dyDescent="0.35"/>
    <row r="5432" s="13" customFormat="1" x14ac:dyDescent="0.35"/>
    <row r="5433" s="13" customFormat="1" x14ac:dyDescent="0.35"/>
    <row r="5434" s="13" customFormat="1" x14ac:dyDescent="0.35"/>
    <row r="5435" s="13" customFormat="1" x14ac:dyDescent="0.35"/>
    <row r="5436" s="13" customFormat="1" x14ac:dyDescent="0.35"/>
    <row r="5437" s="13" customFormat="1" x14ac:dyDescent="0.35"/>
    <row r="5438" s="13" customFormat="1" x14ac:dyDescent="0.35"/>
    <row r="5439" s="13" customFormat="1" x14ac:dyDescent="0.35"/>
    <row r="5440" s="13" customFormat="1" x14ac:dyDescent="0.35"/>
    <row r="5441" s="13" customFormat="1" x14ac:dyDescent="0.35"/>
    <row r="5442" s="13" customFormat="1" x14ac:dyDescent="0.35"/>
    <row r="5443" s="13" customFormat="1" x14ac:dyDescent="0.35"/>
    <row r="5444" s="13" customFormat="1" x14ac:dyDescent="0.35"/>
    <row r="5445" s="13" customFormat="1" x14ac:dyDescent="0.35"/>
    <row r="5446" s="13" customFormat="1" x14ac:dyDescent="0.35"/>
    <row r="5447" s="13" customFormat="1" x14ac:dyDescent="0.35"/>
    <row r="5448" s="13" customFormat="1" x14ac:dyDescent="0.35"/>
    <row r="5449" s="13" customFormat="1" x14ac:dyDescent="0.35"/>
    <row r="5450" s="13" customFormat="1" x14ac:dyDescent="0.35"/>
    <row r="5451" s="13" customFormat="1" x14ac:dyDescent="0.35"/>
    <row r="5452" s="13" customFormat="1" x14ac:dyDescent="0.35"/>
    <row r="5453" s="13" customFormat="1" x14ac:dyDescent="0.35"/>
    <row r="5454" s="13" customFormat="1" x14ac:dyDescent="0.35"/>
    <row r="5455" s="13" customFormat="1" x14ac:dyDescent="0.35"/>
    <row r="5456" s="13" customFormat="1" x14ac:dyDescent="0.35"/>
    <row r="5457" s="13" customFormat="1" x14ac:dyDescent="0.35"/>
    <row r="5458" s="13" customFormat="1" x14ac:dyDescent="0.35"/>
    <row r="5459" s="13" customFormat="1" x14ac:dyDescent="0.35"/>
    <row r="5460" s="13" customFormat="1" x14ac:dyDescent="0.35"/>
    <row r="5461" s="13" customFormat="1" x14ac:dyDescent="0.35"/>
    <row r="5462" s="13" customFormat="1" x14ac:dyDescent="0.35"/>
    <row r="5463" s="13" customFormat="1" x14ac:dyDescent="0.35"/>
    <row r="5464" s="13" customFormat="1" x14ac:dyDescent="0.35"/>
    <row r="5465" s="13" customFormat="1" x14ac:dyDescent="0.35"/>
    <row r="5466" s="13" customFormat="1" x14ac:dyDescent="0.35"/>
    <row r="5467" s="13" customFormat="1" x14ac:dyDescent="0.35"/>
    <row r="5468" s="13" customFormat="1" x14ac:dyDescent="0.35"/>
    <row r="5469" s="13" customFormat="1" x14ac:dyDescent="0.35"/>
    <row r="5470" s="13" customFormat="1" x14ac:dyDescent="0.35"/>
    <row r="5471" s="13" customFormat="1" x14ac:dyDescent="0.35"/>
    <row r="5472" s="13" customFormat="1" x14ac:dyDescent="0.35"/>
    <row r="5473" s="13" customFormat="1" x14ac:dyDescent="0.35"/>
    <row r="5474" s="13" customFormat="1" x14ac:dyDescent="0.35"/>
    <row r="5475" s="13" customFormat="1" x14ac:dyDescent="0.35"/>
    <row r="5476" s="13" customFormat="1" x14ac:dyDescent="0.35"/>
    <row r="5477" s="13" customFormat="1" x14ac:dyDescent="0.35"/>
    <row r="5478" s="13" customFormat="1" x14ac:dyDescent="0.35"/>
    <row r="5479" s="13" customFormat="1" x14ac:dyDescent="0.35"/>
    <row r="5480" s="13" customFormat="1" x14ac:dyDescent="0.35"/>
    <row r="5481" s="13" customFormat="1" x14ac:dyDescent="0.35"/>
    <row r="5482" s="13" customFormat="1" x14ac:dyDescent="0.35"/>
    <row r="5483" s="13" customFormat="1" x14ac:dyDescent="0.35"/>
    <row r="5484" s="13" customFormat="1" x14ac:dyDescent="0.35"/>
    <row r="5485" s="13" customFormat="1" x14ac:dyDescent="0.35"/>
    <row r="5486" s="13" customFormat="1" x14ac:dyDescent="0.35"/>
    <row r="5487" s="13" customFormat="1" x14ac:dyDescent="0.35"/>
    <row r="5488" s="13" customFormat="1" x14ac:dyDescent="0.35"/>
    <row r="5489" s="13" customFormat="1" x14ac:dyDescent="0.35"/>
    <row r="5490" s="13" customFormat="1" x14ac:dyDescent="0.35"/>
    <row r="5491" s="13" customFormat="1" x14ac:dyDescent="0.35"/>
    <row r="5492" s="13" customFormat="1" x14ac:dyDescent="0.35"/>
    <row r="5493" s="13" customFormat="1" x14ac:dyDescent="0.35"/>
    <row r="5494" s="13" customFormat="1" x14ac:dyDescent="0.35"/>
    <row r="5495" s="13" customFormat="1" x14ac:dyDescent="0.35"/>
    <row r="5496" s="13" customFormat="1" x14ac:dyDescent="0.35"/>
    <row r="5497" s="13" customFormat="1" x14ac:dyDescent="0.35"/>
    <row r="5498" s="13" customFormat="1" x14ac:dyDescent="0.35"/>
    <row r="5499" s="13" customFormat="1" x14ac:dyDescent="0.35"/>
    <row r="5500" s="13" customFormat="1" x14ac:dyDescent="0.35"/>
    <row r="5501" s="13" customFormat="1" x14ac:dyDescent="0.35"/>
    <row r="5502" s="13" customFormat="1" x14ac:dyDescent="0.35"/>
    <row r="5503" s="13" customFormat="1" x14ac:dyDescent="0.35"/>
    <row r="5504" s="13" customFormat="1" x14ac:dyDescent="0.35"/>
    <row r="5505" s="13" customFormat="1" x14ac:dyDescent="0.35"/>
    <row r="5506" s="13" customFormat="1" x14ac:dyDescent="0.35"/>
    <row r="5507" s="13" customFormat="1" x14ac:dyDescent="0.35"/>
    <row r="5508" s="13" customFormat="1" x14ac:dyDescent="0.35"/>
    <row r="5509" s="13" customFormat="1" x14ac:dyDescent="0.35"/>
    <row r="5510" s="13" customFormat="1" x14ac:dyDescent="0.35"/>
    <row r="5511" s="13" customFormat="1" x14ac:dyDescent="0.35"/>
    <row r="5512" s="13" customFormat="1" x14ac:dyDescent="0.35"/>
    <row r="5513" s="13" customFormat="1" x14ac:dyDescent="0.35"/>
    <row r="5514" s="13" customFormat="1" x14ac:dyDescent="0.35"/>
    <row r="5515" s="13" customFormat="1" x14ac:dyDescent="0.35"/>
    <row r="5516" s="13" customFormat="1" x14ac:dyDescent="0.35"/>
    <row r="5517" s="13" customFormat="1" x14ac:dyDescent="0.35"/>
    <row r="5518" s="13" customFormat="1" x14ac:dyDescent="0.35"/>
    <row r="5519" s="13" customFormat="1" x14ac:dyDescent="0.35"/>
    <row r="5520" s="13" customFormat="1" x14ac:dyDescent="0.35"/>
    <row r="5521" s="13" customFormat="1" x14ac:dyDescent="0.35"/>
    <row r="5522" s="13" customFormat="1" x14ac:dyDescent="0.35"/>
    <row r="5523" s="13" customFormat="1" x14ac:dyDescent="0.35"/>
    <row r="5524" s="13" customFormat="1" x14ac:dyDescent="0.35"/>
    <row r="5525" s="13" customFormat="1" x14ac:dyDescent="0.35"/>
    <row r="5526" s="13" customFormat="1" x14ac:dyDescent="0.35"/>
    <row r="5527" s="13" customFormat="1" x14ac:dyDescent="0.35"/>
    <row r="5528" s="13" customFormat="1" x14ac:dyDescent="0.35"/>
    <row r="5529" s="13" customFormat="1" x14ac:dyDescent="0.35"/>
    <row r="5530" s="13" customFormat="1" x14ac:dyDescent="0.35"/>
    <row r="5531" s="13" customFormat="1" x14ac:dyDescent="0.35"/>
    <row r="5532" s="13" customFormat="1" x14ac:dyDescent="0.35"/>
    <row r="5533" s="13" customFormat="1" x14ac:dyDescent="0.35"/>
    <row r="5534" s="13" customFormat="1" x14ac:dyDescent="0.35"/>
    <row r="5535" s="13" customFormat="1" x14ac:dyDescent="0.35"/>
    <row r="5536" s="13" customFormat="1" x14ac:dyDescent="0.35"/>
    <row r="5537" s="13" customFormat="1" x14ac:dyDescent="0.35"/>
    <row r="5538" s="13" customFormat="1" x14ac:dyDescent="0.35"/>
    <row r="5539" s="13" customFormat="1" x14ac:dyDescent="0.35"/>
    <row r="5540" s="13" customFormat="1" x14ac:dyDescent="0.35"/>
    <row r="5541" s="13" customFormat="1" x14ac:dyDescent="0.35"/>
    <row r="5542" s="13" customFormat="1" x14ac:dyDescent="0.35"/>
    <row r="5543" s="13" customFormat="1" x14ac:dyDescent="0.35"/>
    <row r="5544" s="13" customFormat="1" x14ac:dyDescent="0.35"/>
    <row r="5545" s="13" customFormat="1" x14ac:dyDescent="0.35"/>
    <row r="5546" s="13" customFormat="1" x14ac:dyDescent="0.35"/>
    <row r="5547" s="13" customFormat="1" x14ac:dyDescent="0.35"/>
    <row r="5548" s="13" customFormat="1" x14ac:dyDescent="0.35"/>
    <row r="5549" s="13" customFormat="1" x14ac:dyDescent="0.35"/>
    <row r="5550" s="13" customFormat="1" x14ac:dyDescent="0.35"/>
    <row r="5551" s="13" customFormat="1" x14ac:dyDescent="0.35"/>
    <row r="5552" s="13" customFormat="1" x14ac:dyDescent="0.35"/>
    <row r="5553" s="13" customFormat="1" x14ac:dyDescent="0.35"/>
    <row r="5554" s="13" customFormat="1" x14ac:dyDescent="0.35"/>
    <row r="5555" s="13" customFormat="1" x14ac:dyDescent="0.35"/>
    <row r="5556" s="13" customFormat="1" x14ac:dyDescent="0.35"/>
    <row r="5557" s="13" customFormat="1" x14ac:dyDescent="0.35"/>
    <row r="5558" s="13" customFormat="1" x14ac:dyDescent="0.35"/>
    <row r="5559" s="13" customFormat="1" x14ac:dyDescent="0.35"/>
    <row r="5560" s="13" customFormat="1" x14ac:dyDescent="0.35"/>
    <row r="5561" s="13" customFormat="1" x14ac:dyDescent="0.35"/>
    <row r="5562" s="13" customFormat="1" x14ac:dyDescent="0.35"/>
    <row r="5563" s="13" customFormat="1" x14ac:dyDescent="0.35"/>
    <row r="5564" s="13" customFormat="1" x14ac:dyDescent="0.35"/>
    <row r="5565" s="13" customFormat="1" x14ac:dyDescent="0.35"/>
    <row r="5566" s="13" customFormat="1" x14ac:dyDescent="0.35"/>
    <row r="5567" s="13" customFormat="1" x14ac:dyDescent="0.35"/>
    <row r="5568" s="13" customFormat="1" x14ac:dyDescent="0.35"/>
    <row r="5569" s="13" customFormat="1" x14ac:dyDescent="0.35"/>
    <row r="5570" s="13" customFormat="1" x14ac:dyDescent="0.35"/>
    <row r="5571" s="13" customFormat="1" x14ac:dyDescent="0.35"/>
    <row r="5572" s="13" customFormat="1" x14ac:dyDescent="0.35"/>
    <row r="5573" s="13" customFormat="1" x14ac:dyDescent="0.35"/>
    <row r="5574" s="13" customFormat="1" x14ac:dyDescent="0.35"/>
    <row r="5575" s="13" customFormat="1" x14ac:dyDescent="0.35"/>
    <row r="5576" s="13" customFormat="1" x14ac:dyDescent="0.35"/>
    <row r="5577" s="13" customFormat="1" x14ac:dyDescent="0.35"/>
    <row r="5578" s="13" customFormat="1" x14ac:dyDescent="0.35"/>
    <row r="5579" s="13" customFormat="1" x14ac:dyDescent="0.35"/>
    <row r="5580" s="13" customFormat="1" x14ac:dyDescent="0.35"/>
    <row r="5581" s="13" customFormat="1" x14ac:dyDescent="0.35"/>
    <row r="5582" s="13" customFormat="1" x14ac:dyDescent="0.35"/>
    <row r="5583" s="13" customFormat="1" x14ac:dyDescent="0.35"/>
    <row r="5584" s="13" customFormat="1" x14ac:dyDescent="0.35"/>
    <row r="5585" s="13" customFormat="1" x14ac:dyDescent="0.35"/>
    <row r="5586" s="13" customFormat="1" x14ac:dyDescent="0.35"/>
    <row r="5587" s="13" customFormat="1" x14ac:dyDescent="0.35"/>
    <row r="5588" s="13" customFormat="1" x14ac:dyDescent="0.35"/>
    <row r="5589" s="13" customFormat="1" x14ac:dyDescent="0.35"/>
    <row r="5590" s="13" customFormat="1" x14ac:dyDescent="0.35"/>
    <row r="5591" s="13" customFormat="1" x14ac:dyDescent="0.35"/>
    <row r="5592" s="13" customFormat="1" x14ac:dyDescent="0.35"/>
    <row r="5593" s="13" customFormat="1" x14ac:dyDescent="0.35"/>
    <row r="5594" s="13" customFormat="1" x14ac:dyDescent="0.35"/>
    <row r="5595" s="13" customFormat="1" x14ac:dyDescent="0.35"/>
    <row r="5596" s="13" customFormat="1" x14ac:dyDescent="0.35"/>
    <row r="5597" s="13" customFormat="1" x14ac:dyDescent="0.35"/>
    <row r="5598" s="13" customFormat="1" x14ac:dyDescent="0.35"/>
    <row r="5599" s="13" customFormat="1" x14ac:dyDescent="0.35"/>
    <row r="5600" s="13" customFormat="1" x14ac:dyDescent="0.35"/>
    <row r="5601" s="13" customFormat="1" x14ac:dyDescent="0.35"/>
    <row r="5602" s="13" customFormat="1" x14ac:dyDescent="0.35"/>
    <row r="5603" s="13" customFormat="1" x14ac:dyDescent="0.35"/>
    <row r="5604" s="13" customFormat="1" x14ac:dyDescent="0.35"/>
    <row r="5605" s="13" customFormat="1" x14ac:dyDescent="0.35"/>
    <row r="5606" s="13" customFormat="1" x14ac:dyDescent="0.35"/>
    <row r="5607" s="13" customFormat="1" x14ac:dyDescent="0.35"/>
    <row r="5608" s="13" customFormat="1" x14ac:dyDescent="0.35"/>
    <row r="5609" s="13" customFormat="1" x14ac:dyDescent="0.35"/>
    <row r="5610" s="13" customFormat="1" x14ac:dyDescent="0.35"/>
    <row r="5611" s="13" customFormat="1" x14ac:dyDescent="0.35"/>
    <row r="5612" s="13" customFormat="1" x14ac:dyDescent="0.35"/>
    <row r="5613" s="13" customFormat="1" x14ac:dyDescent="0.35"/>
    <row r="5614" s="13" customFormat="1" x14ac:dyDescent="0.35"/>
    <row r="5615" s="13" customFormat="1" x14ac:dyDescent="0.35"/>
    <row r="5616" s="13" customFormat="1" x14ac:dyDescent="0.35"/>
    <row r="5617" s="13" customFormat="1" x14ac:dyDescent="0.35"/>
    <row r="5618" s="13" customFormat="1" x14ac:dyDescent="0.35"/>
    <row r="5619" s="13" customFormat="1" x14ac:dyDescent="0.35"/>
    <row r="5620" s="13" customFormat="1" x14ac:dyDescent="0.35"/>
    <row r="5621" s="13" customFormat="1" x14ac:dyDescent="0.35"/>
    <row r="5622" s="13" customFormat="1" x14ac:dyDescent="0.35"/>
    <row r="5623" s="13" customFormat="1" x14ac:dyDescent="0.35"/>
    <row r="5624" s="13" customFormat="1" x14ac:dyDescent="0.35"/>
    <row r="5625" s="13" customFormat="1" x14ac:dyDescent="0.35"/>
    <row r="5626" s="13" customFormat="1" x14ac:dyDescent="0.35"/>
    <row r="5627" s="13" customFormat="1" x14ac:dyDescent="0.35"/>
    <row r="5628" s="13" customFormat="1" x14ac:dyDescent="0.35"/>
    <row r="5629" s="13" customFormat="1" x14ac:dyDescent="0.35"/>
    <row r="5630" s="13" customFormat="1" x14ac:dyDescent="0.35"/>
    <row r="5631" s="13" customFormat="1" x14ac:dyDescent="0.35"/>
    <row r="5632" s="13" customFormat="1" x14ac:dyDescent="0.35"/>
    <row r="5633" s="13" customFormat="1" x14ac:dyDescent="0.35"/>
    <row r="5634" s="13" customFormat="1" x14ac:dyDescent="0.35"/>
    <row r="5635" s="13" customFormat="1" x14ac:dyDescent="0.35"/>
    <row r="5636" s="13" customFormat="1" x14ac:dyDescent="0.35"/>
    <row r="5637" s="13" customFormat="1" x14ac:dyDescent="0.35"/>
    <row r="5638" s="13" customFormat="1" x14ac:dyDescent="0.35"/>
    <row r="5639" s="13" customFormat="1" x14ac:dyDescent="0.35"/>
    <row r="5640" s="13" customFormat="1" x14ac:dyDescent="0.35"/>
    <row r="5641" s="13" customFormat="1" x14ac:dyDescent="0.35"/>
    <row r="5642" s="13" customFormat="1" x14ac:dyDescent="0.35"/>
    <row r="5643" s="13" customFormat="1" x14ac:dyDescent="0.35"/>
    <row r="5644" s="13" customFormat="1" x14ac:dyDescent="0.35"/>
    <row r="5645" s="13" customFormat="1" x14ac:dyDescent="0.35"/>
    <row r="5646" s="13" customFormat="1" x14ac:dyDescent="0.35"/>
    <row r="5647" s="13" customFormat="1" x14ac:dyDescent="0.35"/>
    <row r="5648" s="13" customFormat="1" x14ac:dyDescent="0.35"/>
    <row r="5649" s="13" customFormat="1" x14ac:dyDescent="0.35"/>
    <row r="5650" s="13" customFormat="1" x14ac:dyDescent="0.35"/>
    <row r="5651" s="13" customFormat="1" x14ac:dyDescent="0.35"/>
    <row r="5652" s="13" customFormat="1" x14ac:dyDescent="0.35"/>
    <row r="5653" s="13" customFormat="1" x14ac:dyDescent="0.35"/>
    <row r="5654" s="13" customFormat="1" x14ac:dyDescent="0.35"/>
    <row r="5655" s="13" customFormat="1" x14ac:dyDescent="0.35"/>
    <row r="5656" s="13" customFormat="1" x14ac:dyDescent="0.35"/>
    <row r="5657" s="13" customFormat="1" x14ac:dyDescent="0.35"/>
    <row r="5658" s="13" customFormat="1" x14ac:dyDescent="0.35"/>
    <row r="5659" s="13" customFormat="1" x14ac:dyDescent="0.35"/>
    <row r="5660" s="13" customFormat="1" x14ac:dyDescent="0.35"/>
    <row r="5661" s="13" customFormat="1" x14ac:dyDescent="0.35"/>
    <row r="5662" s="13" customFormat="1" x14ac:dyDescent="0.35"/>
    <row r="5663" s="13" customFormat="1" x14ac:dyDescent="0.35"/>
    <row r="5664" s="13" customFormat="1" x14ac:dyDescent="0.35"/>
    <row r="5665" s="13" customFormat="1" x14ac:dyDescent="0.35"/>
    <row r="5666" s="13" customFormat="1" x14ac:dyDescent="0.35"/>
    <row r="5667" s="13" customFormat="1" x14ac:dyDescent="0.35"/>
    <row r="5668" s="13" customFormat="1" x14ac:dyDescent="0.35"/>
    <row r="5669" s="13" customFormat="1" x14ac:dyDescent="0.35"/>
    <row r="5670" s="13" customFormat="1" x14ac:dyDescent="0.35"/>
    <row r="5671" s="13" customFormat="1" x14ac:dyDescent="0.35"/>
    <row r="5672" s="13" customFormat="1" x14ac:dyDescent="0.35"/>
    <row r="5673" s="13" customFormat="1" x14ac:dyDescent="0.35"/>
    <row r="5674" s="13" customFormat="1" x14ac:dyDescent="0.35"/>
    <row r="5675" s="13" customFormat="1" x14ac:dyDescent="0.35"/>
    <row r="5676" s="13" customFormat="1" x14ac:dyDescent="0.35"/>
    <row r="5677" s="13" customFormat="1" x14ac:dyDescent="0.35"/>
    <row r="5678" s="13" customFormat="1" x14ac:dyDescent="0.35"/>
    <row r="5679" s="13" customFormat="1" x14ac:dyDescent="0.35"/>
    <row r="5680" s="13" customFormat="1" x14ac:dyDescent="0.35"/>
    <row r="5681" s="13" customFormat="1" x14ac:dyDescent="0.35"/>
    <row r="5682" s="13" customFormat="1" x14ac:dyDescent="0.35"/>
    <row r="5683" s="13" customFormat="1" x14ac:dyDescent="0.35"/>
    <row r="5684" s="13" customFormat="1" x14ac:dyDescent="0.35"/>
    <row r="5685" s="13" customFormat="1" x14ac:dyDescent="0.35"/>
    <row r="5686" s="13" customFormat="1" x14ac:dyDescent="0.35"/>
    <row r="5687" s="13" customFormat="1" x14ac:dyDescent="0.35"/>
    <row r="5688" s="13" customFormat="1" x14ac:dyDescent="0.35"/>
    <row r="5689" s="13" customFormat="1" x14ac:dyDescent="0.35"/>
    <row r="5690" s="13" customFormat="1" x14ac:dyDescent="0.35"/>
    <row r="5691" s="13" customFormat="1" x14ac:dyDescent="0.35"/>
    <row r="5692" s="13" customFormat="1" x14ac:dyDescent="0.35"/>
    <row r="5693" s="13" customFormat="1" x14ac:dyDescent="0.35"/>
    <row r="5694" s="13" customFormat="1" x14ac:dyDescent="0.35"/>
    <row r="5695" s="13" customFormat="1" x14ac:dyDescent="0.35"/>
    <row r="5696" s="13" customFormat="1" x14ac:dyDescent="0.35"/>
    <row r="5697" s="13" customFormat="1" x14ac:dyDescent="0.35"/>
    <row r="5698" s="13" customFormat="1" x14ac:dyDescent="0.35"/>
    <row r="5699" s="13" customFormat="1" x14ac:dyDescent="0.35"/>
    <row r="5700" s="13" customFormat="1" x14ac:dyDescent="0.35"/>
    <row r="5701" s="13" customFormat="1" x14ac:dyDescent="0.35"/>
    <row r="5702" s="13" customFormat="1" x14ac:dyDescent="0.35"/>
    <row r="5703" s="13" customFormat="1" x14ac:dyDescent="0.35"/>
    <row r="5704" s="13" customFormat="1" x14ac:dyDescent="0.35"/>
    <row r="5705" s="13" customFormat="1" x14ac:dyDescent="0.35"/>
    <row r="5706" s="13" customFormat="1" x14ac:dyDescent="0.35"/>
    <row r="5707" s="13" customFormat="1" x14ac:dyDescent="0.35"/>
    <row r="5708" s="13" customFormat="1" x14ac:dyDescent="0.35"/>
    <row r="5709" s="13" customFormat="1" x14ac:dyDescent="0.35"/>
    <row r="5710" s="13" customFormat="1" x14ac:dyDescent="0.35"/>
    <row r="5711" s="13" customFormat="1" x14ac:dyDescent="0.35"/>
    <row r="5712" s="13" customFormat="1" x14ac:dyDescent="0.35"/>
    <row r="5713" s="13" customFormat="1" x14ac:dyDescent="0.35"/>
    <row r="5714" s="13" customFormat="1" x14ac:dyDescent="0.35"/>
    <row r="5715" s="13" customFormat="1" x14ac:dyDescent="0.35"/>
    <row r="5716" s="13" customFormat="1" x14ac:dyDescent="0.35"/>
    <row r="5717" s="13" customFormat="1" x14ac:dyDescent="0.35"/>
    <row r="5718" s="13" customFormat="1" x14ac:dyDescent="0.35"/>
    <row r="5719" s="13" customFormat="1" x14ac:dyDescent="0.35"/>
    <row r="5720" s="13" customFormat="1" x14ac:dyDescent="0.35"/>
    <row r="5721" s="13" customFormat="1" x14ac:dyDescent="0.35"/>
    <row r="5722" s="13" customFormat="1" x14ac:dyDescent="0.35"/>
    <row r="5723" s="13" customFormat="1" x14ac:dyDescent="0.35"/>
    <row r="5724" s="13" customFormat="1" x14ac:dyDescent="0.35"/>
    <row r="5725" s="13" customFormat="1" x14ac:dyDescent="0.35"/>
    <row r="5726" s="13" customFormat="1" x14ac:dyDescent="0.35"/>
    <row r="5727" s="13" customFormat="1" x14ac:dyDescent="0.35"/>
    <row r="5728" s="13" customFormat="1" x14ac:dyDescent="0.35"/>
    <row r="5729" s="13" customFormat="1" x14ac:dyDescent="0.35"/>
    <row r="5730" s="13" customFormat="1" x14ac:dyDescent="0.35"/>
    <row r="5731" s="13" customFormat="1" x14ac:dyDescent="0.35"/>
    <row r="5732" s="13" customFormat="1" x14ac:dyDescent="0.35"/>
    <row r="5733" s="13" customFormat="1" x14ac:dyDescent="0.35"/>
    <row r="5734" s="13" customFormat="1" x14ac:dyDescent="0.35"/>
    <row r="5735" s="13" customFormat="1" x14ac:dyDescent="0.35"/>
    <row r="5736" s="13" customFormat="1" x14ac:dyDescent="0.35"/>
    <row r="5737" s="13" customFormat="1" x14ac:dyDescent="0.35"/>
    <row r="5738" s="13" customFormat="1" x14ac:dyDescent="0.35"/>
    <row r="5739" s="13" customFormat="1" x14ac:dyDescent="0.35"/>
    <row r="5740" s="13" customFormat="1" x14ac:dyDescent="0.35"/>
    <row r="5741" s="13" customFormat="1" x14ac:dyDescent="0.35"/>
    <row r="5742" s="13" customFormat="1" x14ac:dyDescent="0.35"/>
    <row r="5743" s="13" customFormat="1" x14ac:dyDescent="0.35"/>
    <row r="5744" s="13" customFormat="1" x14ac:dyDescent="0.35"/>
    <row r="5745" s="13" customFormat="1" x14ac:dyDescent="0.35"/>
    <row r="5746" s="13" customFormat="1" x14ac:dyDescent="0.35"/>
    <row r="5747" s="13" customFormat="1" x14ac:dyDescent="0.35"/>
    <row r="5748" s="13" customFormat="1" x14ac:dyDescent="0.35"/>
    <row r="5749" s="13" customFormat="1" x14ac:dyDescent="0.35"/>
    <row r="5750" s="13" customFormat="1" x14ac:dyDescent="0.35"/>
    <row r="5751" s="13" customFormat="1" x14ac:dyDescent="0.35"/>
    <row r="5752" s="13" customFormat="1" x14ac:dyDescent="0.35"/>
    <row r="5753" s="13" customFormat="1" x14ac:dyDescent="0.35"/>
    <row r="5754" s="13" customFormat="1" x14ac:dyDescent="0.35"/>
    <row r="5755" s="13" customFormat="1" x14ac:dyDescent="0.35"/>
    <row r="5756" s="13" customFormat="1" x14ac:dyDescent="0.35"/>
    <row r="5757" s="13" customFormat="1" x14ac:dyDescent="0.35"/>
    <row r="5758" s="13" customFormat="1" x14ac:dyDescent="0.35"/>
    <row r="5759" s="13" customFormat="1" x14ac:dyDescent="0.35"/>
    <row r="5760" s="13" customFormat="1" x14ac:dyDescent="0.35"/>
    <row r="5761" s="13" customFormat="1" x14ac:dyDescent="0.35"/>
    <row r="5762" s="13" customFormat="1" x14ac:dyDescent="0.35"/>
    <row r="5763" s="13" customFormat="1" x14ac:dyDescent="0.35"/>
    <row r="5764" s="13" customFormat="1" x14ac:dyDescent="0.35"/>
    <row r="5765" s="13" customFormat="1" x14ac:dyDescent="0.35"/>
    <row r="5766" s="13" customFormat="1" x14ac:dyDescent="0.35"/>
    <row r="5767" s="13" customFormat="1" x14ac:dyDescent="0.35"/>
    <row r="5768" s="13" customFormat="1" x14ac:dyDescent="0.35"/>
    <row r="5769" s="13" customFormat="1" x14ac:dyDescent="0.35"/>
    <row r="5770" s="13" customFormat="1" x14ac:dyDescent="0.35"/>
    <row r="5771" s="13" customFormat="1" x14ac:dyDescent="0.35"/>
    <row r="5772" s="13" customFormat="1" x14ac:dyDescent="0.35"/>
    <row r="5773" s="13" customFormat="1" x14ac:dyDescent="0.35"/>
    <row r="5774" s="13" customFormat="1" x14ac:dyDescent="0.35"/>
    <row r="5775" s="13" customFormat="1" x14ac:dyDescent="0.35"/>
    <row r="5776" s="13" customFormat="1" x14ac:dyDescent="0.35"/>
    <row r="5777" s="13" customFormat="1" x14ac:dyDescent="0.35"/>
    <row r="5778" s="13" customFormat="1" x14ac:dyDescent="0.35"/>
    <row r="5779" s="13" customFormat="1" x14ac:dyDescent="0.35"/>
    <row r="5780" s="13" customFormat="1" x14ac:dyDescent="0.35"/>
    <row r="5781" s="13" customFormat="1" x14ac:dyDescent="0.35"/>
    <row r="5782" s="13" customFormat="1" x14ac:dyDescent="0.35"/>
    <row r="5783" s="13" customFormat="1" x14ac:dyDescent="0.35"/>
    <row r="5784" s="13" customFormat="1" x14ac:dyDescent="0.35"/>
    <row r="5785" s="13" customFormat="1" x14ac:dyDescent="0.35"/>
    <row r="5786" s="13" customFormat="1" x14ac:dyDescent="0.35"/>
    <row r="5787" s="13" customFormat="1" x14ac:dyDescent="0.35"/>
    <row r="5788" s="13" customFormat="1" x14ac:dyDescent="0.35"/>
    <row r="5789" s="13" customFormat="1" x14ac:dyDescent="0.35"/>
    <row r="5790" s="13" customFormat="1" x14ac:dyDescent="0.35"/>
    <row r="5791" s="13" customFormat="1" x14ac:dyDescent="0.35"/>
    <row r="5792" s="13" customFormat="1" x14ac:dyDescent="0.35"/>
    <row r="5793" s="13" customFormat="1" x14ac:dyDescent="0.35"/>
    <row r="5794" s="13" customFormat="1" x14ac:dyDescent="0.35"/>
    <row r="5795" s="13" customFormat="1" x14ac:dyDescent="0.35"/>
    <row r="5796" s="13" customFormat="1" x14ac:dyDescent="0.35"/>
    <row r="5797" s="13" customFormat="1" x14ac:dyDescent="0.35"/>
    <row r="5798" s="13" customFormat="1" x14ac:dyDescent="0.35"/>
    <row r="5799" s="13" customFormat="1" x14ac:dyDescent="0.35"/>
    <row r="5800" s="13" customFormat="1" x14ac:dyDescent="0.35"/>
    <row r="5801" s="13" customFormat="1" x14ac:dyDescent="0.35"/>
    <row r="5802" s="13" customFormat="1" x14ac:dyDescent="0.35"/>
    <row r="5803" s="13" customFormat="1" x14ac:dyDescent="0.35"/>
    <row r="5804" s="13" customFormat="1" x14ac:dyDescent="0.35"/>
    <row r="5805" s="13" customFormat="1" x14ac:dyDescent="0.35"/>
    <row r="5806" s="13" customFormat="1" x14ac:dyDescent="0.35"/>
    <row r="5807" s="13" customFormat="1" x14ac:dyDescent="0.35"/>
    <row r="5808" s="13" customFormat="1" x14ac:dyDescent="0.35"/>
    <row r="5809" s="13" customFormat="1" x14ac:dyDescent="0.35"/>
    <row r="5810" s="13" customFormat="1" x14ac:dyDescent="0.35"/>
    <row r="5811" s="13" customFormat="1" x14ac:dyDescent="0.35"/>
    <row r="5812" s="13" customFormat="1" x14ac:dyDescent="0.35"/>
    <row r="5813" s="13" customFormat="1" x14ac:dyDescent="0.35"/>
    <row r="5814" s="13" customFormat="1" x14ac:dyDescent="0.35"/>
    <row r="5815" s="13" customFormat="1" x14ac:dyDescent="0.35"/>
    <row r="5816" s="13" customFormat="1" x14ac:dyDescent="0.35"/>
    <row r="5817" s="13" customFormat="1" x14ac:dyDescent="0.35"/>
    <row r="5818" s="13" customFormat="1" x14ac:dyDescent="0.35"/>
    <row r="5819" s="13" customFormat="1" x14ac:dyDescent="0.35"/>
    <row r="5820" s="13" customFormat="1" x14ac:dyDescent="0.35"/>
    <row r="5821" s="13" customFormat="1" x14ac:dyDescent="0.35"/>
    <row r="5822" s="13" customFormat="1" x14ac:dyDescent="0.35"/>
    <row r="5823" s="13" customFormat="1" x14ac:dyDescent="0.35"/>
    <row r="5824" s="13" customFormat="1" x14ac:dyDescent="0.35"/>
    <row r="5825" s="13" customFormat="1" x14ac:dyDescent="0.35"/>
    <row r="5826" s="13" customFormat="1" x14ac:dyDescent="0.35"/>
    <row r="5827" s="13" customFormat="1" x14ac:dyDescent="0.35"/>
    <row r="5828" s="13" customFormat="1" x14ac:dyDescent="0.35"/>
    <row r="5829" s="13" customFormat="1" x14ac:dyDescent="0.35"/>
    <row r="5830" s="13" customFormat="1" x14ac:dyDescent="0.35"/>
    <row r="5831" s="13" customFormat="1" x14ac:dyDescent="0.35"/>
    <row r="5832" s="13" customFormat="1" x14ac:dyDescent="0.35"/>
    <row r="5833" s="13" customFormat="1" x14ac:dyDescent="0.35"/>
    <row r="5834" s="13" customFormat="1" x14ac:dyDescent="0.35"/>
    <row r="5835" s="13" customFormat="1" x14ac:dyDescent="0.35"/>
    <row r="5836" s="13" customFormat="1" x14ac:dyDescent="0.35"/>
    <row r="5837" s="13" customFormat="1" x14ac:dyDescent="0.35"/>
    <row r="5838" s="13" customFormat="1" x14ac:dyDescent="0.35"/>
    <row r="5839" s="13" customFormat="1" x14ac:dyDescent="0.35"/>
    <row r="5840" s="13" customFormat="1" x14ac:dyDescent="0.35"/>
    <row r="5841" s="13" customFormat="1" x14ac:dyDescent="0.35"/>
    <row r="5842" s="13" customFormat="1" x14ac:dyDescent="0.35"/>
    <row r="5843" s="13" customFormat="1" x14ac:dyDescent="0.35"/>
    <row r="5844" s="13" customFormat="1" x14ac:dyDescent="0.35"/>
    <row r="5845" s="13" customFormat="1" x14ac:dyDescent="0.35"/>
    <row r="5846" s="13" customFormat="1" x14ac:dyDescent="0.35"/>
    <row r="5847" s="13" customFormat="1" x14ac:dyDescent="0.35"/>
    <row r="5848" s="13" customFormat="1" x14ac:dyDescent="0.35"/>
    <row r="5849" s="13" customFormat="1" x14ac:dyDescent="0.35"/>
    <row r="5850" s="13" customFormat="1" x14ac:dyDescent="0.35"/>
    <row r="5851" s="13" customFormat="1" x14ac:dyDescent="0.35"/>
    <row r="5852" s="13" customFormat="1" x14ac:dyDescent="0.35"/>
    <row r="5853" s="13" customFormat="1" x14ac:dyDescent="0.35"/>
    <row r="5854" s="13" customFormat="1" x14ac:dyDescent="0.35"/>
    <row r="5855" s="13" customFormat="1" x14ac:dyDescent="0.35"/>
    <row r="5856" s="13" customFormat="1" x14ac:dyDescent="0.35"/>
    <row r="5857" s="13" customFormat="1" x14ac:dyDescent="0.35"/>
    <row r="5858" s="13" customFormat="1" x14ac:dyDescent="0.35"/>
    <row r="5859" s="13" customFormat="1" x14ac:dyDescent="0.35"/>
    <row r="5860" s="13" customFormat="1" x14ac:dyDescent="0.35"/>
    <row r="5861" s="13" customFormat="1" x14ac:dyDescent="0.35"/>
    <row r="5862" s="13" customFormat="1" x14ac:dyDescent="0.35"/>
    <row r="5863" s="13" customFormat="1" x14ac:dyDescent="0.35"/>
    <row r="5864" s="13" customFormat="1" x14ac:dyDescent="0.35"/>
    <row r="5865" s="13" customFormat="1" x14ac:dyDescent="0.35"/>
    <row r="5866" s="13" customFormat="1" x14ac:dyDescent="0.35"/>
    <row r="5867" s="13" customFormat="1" x14ac:dyDescent="0.35"/>
    <row r="5868" s="13" customFormat="1" x14ac:dyDescent="0.35"/>
    <row r="5869" s="13" customFormat="1" x14ac:dyDescent="0.35"/>
    <row r="5870" s="13" customFormat="1" x14ac:dyDescent="0.35"/>
    <row r="5871" s="13" customFormat="1" x14ac:dyDescent="0.35"/>
    <row r="5872" s="13" customFormat="1" x14ac:dyDescent="0.35"/>
    <row r="5873" s="13" customFormat="1" x14ac:dyDescent="0.35"/>
    <row r="5874" s="13" customFormat="1" x14ac:dyDescent="0.35"/>
    <row r="5875" s="13" customFormat="1" x14ac:dyDescent="0.35"/>
    <row r="5876" s="13" customFormat="1" x14ac:dyDescent="0.35"/>
    <row r="5877" s="13" customFormat="1" x14ac:dyDescent="0.35"/>
    <row r="5878" s="13" customFormat="1" x14ac:dyDescent="0.35"/>
    <row r="5879" s="13" customFormat="1" x14ac:dyDescent="0.35"/>
    <row r="5880" s="13" customFormat="1" x14ac:dyDescent="0.35"/>
    <row r="5881" s="13" customFormat="1" x14ac:dyDescent="0.35"/>
    <row r="5882" s="13" customFormat="1" x14ac:dyDescent="0.35"/>
    <row r="5883" s="13" customFormat="1" x14ac:dyDescent="0.35"/>
    <row r="5884" s="13" customFormat="1" x14ac:dyDescent="0.35"/>
    <row r="5885" s="13" customFormat="1" x14ac:dyDescent="0.35"/>
    <row r="5886" s="13" customFormat="1" x14ac:dyDescent="0.35"/>
    <row r="5887" s="13" customFormat="1" x14ac:dyDescent="0.35"/>
    <row r="5888" s="13" customFormat="1" x14ac:dyDescent="0.35"/>
    <row r="5889" s="13" customFormat="1" x14ac:dyDescent="0.35"/>
    <row r="5890" s="13" customFormat="1" x14ac:dyDescent="0.35"/>
    <row r="5891" s="13" customFormat="1" x14ac:dyDescent="0.35"/>
    <row r="5892" s="13" customFormat="1" x14ac:dyDescent="0.35"/>
    <row r="5893" s="13" customFormat="1" x14ac:dyDescent="0.35"/>
    <row r="5894" s="13" customFormat="1" x14ac:dyDescent="0.35"/>
    <row r="5895" s="13" customFormat="1" x14ac:dyDescent="0.35"/>
    <row r="5896" s="13" customFormat="1" x14ac:dyDescent="0.35"/>
    <row r="5897" s="13" customFormat="1" x14ac:dyDescent="0.35"/>
    <row r="5898" s="13" customFormat="1" x14ac:dyDescent="0.35"/>
    <row r="5899" s="13" customFormat="1" x14ac:dyDescent="0.35"/>
    <row r="5900" s="13" customFormat="1" x14ac:dyDescent="0.35"/>
    <row r="5901" s="13" customFormat="1" x14ac:dyDescent="0.35"/>
    <row r="5902" s="13" customFormat="1" x14ac:dyDescent="0.35"/>
    <row r="5903" s="13" customFormat="1" x14ac:dyDescent="0.35"/>
    <row r="5904" s="13" customFormat="1" x14ac:dyDescent="0.35"/>
    <row r="5905" s="13" customFormat="1" x14ac:dyDescent="0.35"/>
    <row r="5906" s="13" customFormat="1" x14ac:dyDescent="0.35"/>
    <row r="5907" s="13" customFormat="1" x14ac:dyDescent="0.35"/>
    <row r="5908" s="13" customFormat="1" x14ac:dyDescent="0.35"/>
    <row r="5909" s="13" customFormat="1" x14ac:dyDescent="0.35"/>
    <row r="5910" s="13" customFormat="1" x14ac:dyDescent="0.35"/>
    <row r="5911" s="13" customFormat="1" x14ac:dyDescent="0.35"/>
    <row r="5912" s="13" customFormat="1" x14ac:dyDescent="0.35"/>
    <row r="5913" s="13" customFormat="1" x14ac:dyDescent="0.35"/>
    <row r="5914" s="13" customFormat="1" x14ac:dyDescent="0.35"/>
    <row r="5915" s="13" customFormat="1" x14ac:dyDescent="0.35"/>
    <row r="5916" s="13" customFormat="1" x14ac:dyDescent="0.35"/>
    <row r="5917" s="13" customFormat="1" x14ac:dyDescent="0.35"/>
    <row r="5918" s="13" customFormat="1" x14ac:dyDescent="0.35"/>
    <row r="5919" s="13" customFormat="1" x14ac:dyDescent="0.35"/>
    <row r="5920" s="13" customFormat="1" x14ac:dyDescent="0.35"/>
    <row r="5921" s="13" customFormat="1" x14ac:dyDescent="0.35"/>
    <row r="5922" s="13" customFormat="1" x14ac:dyDescent="0.35"/>
    <row r="5923" s="13" customFormat="1" x14ac:dyDescent="0.35"/>
    <row r="5924" s="13" customFormat="1" x14ac:dyDescent="0.35"/>
    <row r="5925" s="13" customFormat="1" x14ac:dyDescent="0.35"/>
    <row r="5926" s="13" customFormat="1" x14ac:dyDescent="0.35"/>
    <row r="5927" s="13" customFormat="1" x14ac:dyDescent="0.35"/>
    <row r="5928" s="13" customFormat="1" x14ac:dyDescent="0.35"/>
    <row r="5929" s="13" customFormat="1" x14ac:dyDescent="0.35"/>
    <row r="5930" s="13" customFormat="1" x14ac:dyDescent="0.35"/>
    <row r="5931" s="13" customFormat="1" x14ac:dyDescent="0.35"/>
    <row r="5932" s="13" customFormat="1" x14ac:dyDescent="0.35"/>
    <row r="5933" s="13" customFormat="1" x14ac:dyDescent="0.35"/>
    <row r="5934" s="13" customFormat="1" x14ac:dyDescent="0.35"/>
    <row r="5935" s="13" customFormat="1" x14ac:dyDescent="0.35"/>
    <row r="5936" s="13" customFormat="1" x14ac:dyDescent="0.35"/>
    <row r="5937" s="13" customFormat="1" x14ac:dyDescent="0.35"/>
    <row r="5938" s="13" customFormat="1" x14ac:dyDescent="0.35"/>
    <row r="5939" s="13" customFormat="1" x14ac:dyDescent="0.35"/>
    <row r="5940" s="13" customFormat="1" x14ac:dyDescent="0.35"/>
    <row r="5941" s="13" customFormat="1" x14ac:dyDescent="0.35"/>
    <row r="5942" s="13" customFormat="1" x14ac:dyDescent="0.35"/>
    <row r="5943" s="13" customFormat="1" x14ac:dyDescent="0.35"/>
    <row r="5944" s="13" customFormat="1" x14ac:dyDescent="0.35"/>
    <row r="5945" s="13" customFormat="1" x14ac:dyDescent="0.35"/>
    <row r="5946" s="13" customFormat="1" x14ac:dyDescent="0.35"/>
    <row r="5947" s="13" customFormat="1" x14ac:dyDescent="0.35"/>
    <row r="5948" s="13" customFormat="1" x14ac:dyDescent="0.35"/>
    <row r="5949" s="13" customFormat="1" x14ac:dyDescent="0.35"/>
    <row r="5950" s="13" customFormat="1" x14ac:dyDescent="0.35"/>
    <row r="5951" s="13" customFormat="1" x14ac:dyDescent="0.35"/>
    <row r="5952" s="13" customFormat="1" x14ac:dyDescent="0.35"/>
    <row r="5953" s="13" customFormat="1" x14ac:dyDescent="0.35"/>
    <row r="5954" s="13" customFormat="1" x14ac:dyDescent="0.35"/>
    <row r="5955" s="13" customFormat="1" x14ac:dyDescent="0.35"/>
    <row r="5956" s="13" customFormat="1" x14ac:dyDescent="0.35"/>
    <row r="5957" s="13" customFormat="1" x14ac:dyDescent="0.35"/>
    <row r="5958" s="13" customFormat="1" x14ac:dyDescent="0.35"/>
    <row r="5959" s="13" customFormat="1" x14ac:dyDescent="0.35"/>
    <row r="5960" s="13" customFormat="1" x14ac:dyDescent="0.35"/>
    <row r="5961" s="13" customFormat="1" x14ac:dyDescent="0.35"/>
    <row r="5962" s="13" customFormat="1" x14ac:dyDescent="0.35"/>
    <row r="5963" s="13" customFormat="1" x14ac:dyDescent="0.35"/>
    <row r="5964" s="13" customFormat="1" x14ac:dyDescent="0.35"/>
    <row r="5965" s="13" customFormat="1" x14ac:dyDescent="0.35"/>
    <row r="5966" s="13" customFormat="1" x14ac:dyDescent="0.35"/>
    <row r="5967" s="13" customFormat="1" x14ac:dyDescent="0.35"/>
    <row r="5968" s="13" customFormat="1" x14ac:dyDescent="0.35"/>
    <row r="5969" s="13" customFormat="1" x14ac:dyDescent="0.35"/>
    <row r="5970" s="13" customFormat="1" x14ac:dyDescent="0.35"/>
    <row r="5971" s="13" customFormat="1" x14ac:dyDescent="0.35"/>
    <row r="5972" s="13" customFormat="1" x14ac:dyDescent="0.35"/>
    <row r="5973" s="13" customFormat="1" x14ac:dyDescent="0.35"/>
    <row r="5974" s="13" customFormat="1" x14ac:dyDescent="0.35"/>
    <row r="5975" s="13" customFormat="1" x14ac:dyDescent="0.35"/>
    <row r="5976" s="13" customFormat="1" x14ac:dyDescent="0.35"/>
    <row r="5977" s="13" customFormat="1" x14ac:dyDescent="0.35"/>
    <row r="5978" s="13" customFormat="1" x14ac:dyDescent="0.35"/>
    <row r="5979" s="13" customFormat="1" x14ac:dyDescent="0.35"/>
    <row r="5980" s="13" customFormat="1" x14ac:dyDescent="0.35"/>
    <row r="5981" s="13" customFormat="1" x14ac:dyDescent="0.35"/>
    <row r="5982" s="13" customFormat="1" x14ac:dyDescent="0.35"/>
    <row r="5983" s="13" customFormat="1" x14ac:dyDescent="0.35"/>
    <row r="5984" s="13" customFormat="1" x14ac:dyDescent="0.35"/>
    <row r="5985" s="13" customFormat="1" x14ac:dyDescent="0.35"/>
    <row r="5986" s="13" customFormat="1" x14ac:dyDescent="0.35"/>
    <row r="5987" s="13" customFormat="1" x14ac:dyDescent="0.35"/>
    <row r="5988" s="13" customFormat="1" x14ac:dyDescent="0.35"/>
    <row r="5989" s="13" customFormat="1" x14ac:dyDescent="0.35"/>
    <row r="5990" s="13" customFormat="1" x14ac:dyDescent="0.35"/>
    <row r="5991" s="13" customFormat="1" x14ac:dyDescent="0.35"/>
    <row r="5992" s="13" customFormat="1" x14ac:dyDescent="0.35"/>
    <row r="5993" s="13" customFormat="1" x14ac:dyDescent="0.35"/>
    <row r="5994" s="13" customFormat="1" x14ac:dyDescent="0.35"/>
    <row r="5995" s="13" customFormat="1" x14ac:dyDescent="0.35"/>
    <row r="5996" s="13" customFormat="1" x14ac:dyDescent="0.35"/>
    <row r="5997" s="13" customFormat="1" x14ac:dyDescent="0.35"/>
    <row r="5998" s="13" customFormat="1" x14ac:dyDescent="0.35"/>
    <row r="5999" s="13" customFormat="1" x14ac:dyDescent="0.35"/>
    <row r="6000" s="13" customFormat="1" x14ac:dyDescent="0.35"/>
    <row r="6001" s="13" customFormat="1" x14ac:dyDescent="0.35"/>
    <row r="6002" s="13" customFormat="1" x14ac:dyDescent="0.35"/>
    <row r="6003" s="13" customFormat="1" x14ac:dyDescent="0.35"/>
    <row r="6004" s="13" customFormat="1" x14ac:dyDescent="0.35"/>
    <row r="6005" s="13" customFormat="1" x14ac:dyDescent="0.35"/>
    <row r="6006" s="13" customFormat="1" x14ac:dyDescent="0.35"/>
    <row r="6007" s="13" customFormat="1" x14ac:dyDescent="0.35"/>
    <row r="6008" s="13" customFormat="1" x14ac:dyDescent="0.35"/>
    <row r="6009" s="13" customFormat="1" x14ac:dyDescent="0.35"/>
    <row r="6010" s="13" customFormat="1" x14ac:dyDescent="0.35"/>
    <row r="6011" s="13" customFormat="1" x14ac:dyDescent="0.35"/>
    <row r="6012" s="13" customFormat="1" x14ac:dyDescent="0.35"/>
    <row r="6013" s="13" customFormat="1" x14ac:dyDescent="0.35"/>
    <row r="6014" s="13" customFormat="1" x14ac:dyDescent="0.35"/>
    <row r="6015" s="13" customFormat="1" x14ac:dyDescent="0.35"/>
    <row r="6016" s="13" customFormat="1" x14ac:dyDescent="0.35"/>
    <row r="6017" s="13" customFormat="1" x14ac:dyDescent="0.35"/>
    <row r="6018" s="13" customFormat="1" x14ac:dyDescent="0.35"/>
    <row r="6019" s="13" customFormat="1" x14ac:dyDescent="0.35"/>
    <row r="6020" s="13" customFormat="1" x14ac:dyDescent="0.35"/>
    <row r="6021" s="13" customFormat="1" x14ac:dyDescent="0.35"/>
    <row r="6022" s="13" customFormat="1" x14ac:dyDescent="0.35"/>
    <row r="6023" s="13" customFormat="1" x14ac:dyDescent="0.35"/>
    <row r="6024" s="13" customFormat="1" x14ac:dyDescent="0.35"/>
    <row r="6025" s="13" customFormat="1" x14ac:dyDescent="0.35"/>
    <row r="6026" s="13" customFormat="1" x14ac:dyDescent="0.35"/>
    <row r="6027" s="13" customFormat="1" x14ac:dyDescent="0.35"/>
    <row r="6028" s="13" customFormat="1" x14ac:dyDescent="0.35"/>
    <row r="6029" s="13" customFormat="1" x14ac:dyDescent="0.35"/>
    <row r="6030" s="13" customFormat="1" x14ac:dyDescent="0.35"/>
    <row r="6031" s="13" customFormat="1" x14ac:dyDescent="0.35"/>
    <row r="6032" s="13" customFormat="1" x14ac:dyDescent="0.35"/>
    <row r="6033" s="13" customFormat="1" x14ac:dyDescent="0.35"/>
    <row r="6034" s="13" customFormat="1" x14ac:dyDescent="0.35"/>
    <row r="6035" s="13" customFormat="1" x14ac:dyDescent="0.35"/>
    <row r="6036" s="13" customFormat="1" x14ac:dyDescent="0.35"/>
    <row r="6037" s="13" customFormat="1" x14ac:dyDescent="0.35"/>
    <row r="6038" s="13" customFormat="1" x14ac:dyDescent="0.35"/>
    <row r="6039" s="13" customFormat="1" x14ac:dyDescent="0.35"/>
    <row r="6040" s="13" customFormat="1" x14ac:dyDescent="0.35"/>
    <row r="6041" s="13" customFormat="1" x14ac:dyDescent="0.35"/>
    <row r="6042" s="13" customFormat="1" x14ac:dyDescent="0.35"/>
    <row r="6043" s="13" customFormat="1" x14ac:dyDescent="0.35"/>
    <row r="6044" s="13" customFormat="1" x14ac:dyDescent="0.35"/>
    <row r="6045" s="13" customFormat="1" x14ac:dyDescent="0.35"/>
    <row r="6046" s="13" customFormat="1" x14ac:dyDescent="0.35"/>
    <row r="6047" s="13" customFormat="1" x14ac:dyDescent="0.35"/>
    <row r="6048" s="13" customFormat="1" x14ac:dyDescent="0.35"/>
    <row r="6049" s="13" customFormat="1" x14ac:dyDescent="0.35"/>
    <row r="6050" s="13" customFormat="1" x14ac:dyDescent="0.35"/>
    <row r="6051" s="13" customFormat="1" x14ac:dyDescent="0.35"/>
    <row r="6052" s="13" customFormat="1" x14ac:dyDescent="0.35"/>
    <row r="6053" s="13" customFormat="1" x14ac:dyDescent="0.35"/>
    <row r="6054" s="13" customFormat="1" x14ac:dyDescent="0.35"/>
    <row r="6055" s="13" customFormat="1" x14ac:dyDescent="0.35"/>
    <row r="6056" s="13" customFormat="1" x14ac:dyDescent="0.35"/>
    <row r="6057" s="13" customFormat="1" x14ac:dyDescent="0.35"/>
    <row r="6058" s="13" customFormat="1" x14ac:dyDescent="0.35"/>
    <row r="6059" s="13" customFormat="1" x14ac:dyDescent="0.35"/>
    <row r="6060" s="13" customFormat="1" x14ac:dyDescent="0.35"/>
    <row r="6061" s="13" customFormat="1" x14ac:dyDescent="0.35"/>
    <row r="6062" s="13" customFormat="1" x14ac:dyDescent="0.35"/>
    <row r="6063" s="13" customFormat="1" x14ac:dyDescent="0.35"/>
    <row r="6064" s="13" customFormat="1" x14ac:dyDescent="0.35"/>
    <row r="6065" s="13" customFormat="1" x14ac:dyDescent="0.35"/>
    <row r="6066" s="13" customFormat="1" x14ac:dyDescent="0.35"/>
    <row r="6067" s="13" customFormat="1" x14ac:dyDescent="0.35"/>
    <row r="6068" s="13" customFormat="1" x14ac:dyDescent="0.35"/>
    <row r="6069" s="13" customFormat="1" x14ac:dyDescent="0.35"/>
    <row r="6070" s="13" customFormat="1" x14ac:dyDescent="0.35"/>
    <row r="6071" s="13" customFormat="1" x14ac:dyDescent="0.35"/>
    <row r="6072" s="13" customFormat="1" x14ac:dyDescent="0.35"/>
    <row r="6073" s="13" customFormat="1" x14ac:dyDescent="0.35"/>
    <row r="6074" s="13" customFormat="1" x14ac:dyDescent="0.35"/>
    <row r="6075" s="13" customFormat="1" x14ac:dyDescent="0.35"/>
    <row r="6076" s="13" customFormat="1" x14ac:dyDescent="0.35"/>
    <row r="6077" s="13" customFormat="1" x14ac:dyDescent="0.35"/>
    <row r="6078" s="13" customFormat="1" x14ac:dyDescent="0.35"/>
    <row r="6079" s="13" customFormat="1" x14ac:dyDescent="0.35"/>
    <row r="6080" s="13" customFormat="1" x14ac:dyDescent="0.35"/>
    <row r="6081" s="13" customFormat="1" x14ac:dyDescent="0.35"/>
    <row r="6082" s="13" customFormat="1" x14ac:dyDescent="0.35"/>
    <row r="6083" s="13" customFormat="1" x14ac:dyDescent="0.35"/>
    <row r="6084" s="13" customFormat="1" x14ac:dyDescent="0.35"/>
    <row r="6085" s="13" customFormat="1" x14ac:dyDescent="0.35"/>
    <row r="6086" s="13" customFormat="1" x14ac:dyDescent="0.35"/>
    <row r="6087" s="13" customFormat="1" x14ac:dyDescent="0.35"/>
    <row r="6088" s="13" customFormat="1" x14ac:dyDescent="0.35"/>
    <row r="6089" s="13" customFormat="1" x14ac:dyDescent="0.35"/>
    <row r="6090" s="13" customFormat="1" x14ac:dyDescent="0.35"/>
    <row r="6091" s="13" customFormat="1" x14ac:dyDescent="0.35"/>
    <row r="6092" s="13" customFormat="1" x14ac:dyDescent="0.35"/>
    <row r="6093" s="13" customFormat="1" x14ac:dyDescent="0.35"/>
    <row r="6094" s="13" customFormat="1" x14ac:dyDescent="0.35"/>
    <row r="6095" s="13" customFormat="1" x14ac:dyDescent="0.35"/>
    <row r="6096" s="13" customFormat="1" x14ac:dyDescent="0.35"/>
    <row r="6097" s="13" customFormat="1" x14ac:dyDescent="0.35"/>
    <row r="6098" s="13" customFormat="1" x14ac:dyDescent="0.35"/>
    <row r="6099" s="13" customFormat="1" x14ac:dyDescent="0.35"/>
    <row r="6100" s="13" customFormat="1" x14ac:dyDescent="0.35"/>
    <row r="6101" s="13" customFormat="1" x14ac:dyDescent="0.35"/>
    <row r="6102" s="13" customFormat="1" x14ac:dyDescent="0.35"/>
    <row r="6103" s="13" customFormat="1" x14ac:dyDescent="0.35"/>
    <row r="6104" s="13" customFormat="1" x14ac:dyDescent="0.35"/>
    <row r="6105" s="13" customFormat="1" x14ac:dyDescent="0.35"/>
    <row r="6106" s="13" customFormat="1" x14ac:dyDescent="0.35"/>
    <row r="6107" s="13" customFormat="1" x14ac:dyDescent="0.35"/>
    <row r="6108" s="13" customFormat="1" x14ac:dyDescent="0.35"/>
    <row r="6109" s="13" customFormat="1" x14ac:dyDescent="0.35"/>
    <row r="6110" s="13" customFormat="1" x14ac:dyDescent="0.35"/>
    <row r="6111" s="13" customFormat="1" x14ac:dyDescent="0.35"/>
    <row r="6112" s="13" customFormat="1" x14ac:dyDescent="0.35"/>
    <row r="6113" s="13" customFormat="1" x14ac:dyDescent="0.35"/>
    <row r="6114" s="13" customFormat="1" x14ac:dyDescent="0.35"/>
    <row r="6115" s="13" customFormat="1" x14ac:dyDescent="0.35"/>
    <row r="6116" s="13" customFormat="1" x14ac:dyDescent="0.35"/>
    <row r="6117" s="13" customFormat="1" x14ac:dyDescent="0.35"/>
    <row r="6118" s="13" customFormat="1" x14ac:dyDescent="0.35"/>
    <row r="6119" s="13" customFormat="1" x14ac:dyDescent="0.35"/>
    <row r="6120" s="13" customFormat="1" x14ac:dyDescent="0.35"/>
    <row r="6121" s="13" customFormat="1" x14ac:dyDescent="0.35"/>
    <row r="6122" s="13" customFormat="1" x14ac:dyDescent="0.35"/>
    <row r="6123" s="13" customFormat="1" x14ac:dyDescent="0.35"/>
    <row r="6124" s="13" customFormat="1" x14ac:dyDescent="0.35"/>
    <row r="6125" s="13" customFormat="1" x14ac:dyDescent="0.35"/>
    <row r="6126" s="13" customFormat="1" x14ac:dyDescent="0.35"/>
    <row r="6127" s="13" customFormat="1" x14ac:dyDescent="0.35"/>
    <row r="6128" s="13" customFormat="1" x14ac:dyDescent="0.35"/>
    <row r="6129" s="13" customFormat="1" x14ac:dyDescent="0.35"/>
    <row r="6130" s="13" customFormat="1" x14ac:dyDescent="0.35"/>
    <row r="6131" s="13" customFormat="1" x14ac:dyDescent="0.35"/>
    <row r="6132" s="13" customFormat="1" x14ac:dyDescent="0.35"/>
    <row r="6133" s="13" customFormat="1" x14ac:dyDescent="0.35"/>
    <row r="6134" s="13" customFormat="1" x14ac:dyDescent="0.35"/>
    <row r="6135" s="13" customFormat="1" x14ac:dyDescent="0.35"/>
    <row r="6136" s="13" customFormat="1" x14ac:dyDescent="0.35"/>
    <row r="6137" s="13" customFormat="1" x14ac:dyDescent="0.35"/>
    <row r="6138" s="13" customFormat="1" x14ac:dyDescent="0.35"/>
    <row r="6139" s="13" customFormat="1" x14ac:dyDescent="0.35"/>
    <row r="6140" s="13" customFormat="1" x14ac:dyDescent="0.35"/>
    <row r="6141" s="13" customFormat="1" x14ac:dyDescent="0.35"/>
    <row r="6142" s="13" customFormat="1" x14ac:dyDescent="0.35"/>
    <row r="6143" s="13" customFormat="1" x14ac:dyDescent="0.35"/>
    <row r="6144" s="13" customFormat="1" x14ac:dyDescent="0.35"/>
    <row r="6145" s="13" customFormat="1" x14ac:dyDescent="0.35"/>
    <row r="6146" s="13" customFormat="1" x14ac:dyDescent="0.35"/>
    <row r="6147" s="13" customFormat="1" x14ac:dyDescent="0.35"/>
    <row r="6148" s="13" customFormat="1" x14ac:dyDescent="0.35"/>
    <row r="6149" s="13" customFormat="1" x14ac:dyDescent="0.35"/>
    <row r="6150" s="13" customFormat="1" x14ac:dyDescent="0.35"/>
    <row r="6151" s="13" customFormat="1" x14ac:dyDescent="0.35"/>
    <row r="6152" s="13" customFormat="1" x14ac:dyDescent="0.35"/>
    <row r="6153" s="13" customFormat="1" x14ac:dyDescent="0.35"/>
    <row r="6154" s="13" customFormat="1" x14ac:dyDescent="0.35"/>
    <row r="6155" s="13" customFormat="1" x14ac:dyDescent="0.35"/>
    <row r="6156" s="13" customFormat="1" x14ac:dyDescent="0.35"/>
    <row r="6157" s="13" customFormat="1" x14ac:dyDescent="0.35"/>
    <row r="6158" s="13" customFormat="1" x14ac:dyDescent="0.35"/>
    <row r="6159" s="13" customFormat="1" x14ac:dyDescent="0.35"/>
    <row r="6160" s="13" customFormat="1" x14ac:dyDescent="0.35"/>
    <row r="6161" s="13" customFormat="1" x14ac:dyDescent="0.35"/>
    <row r="6162" s="13" customFormat="1" x14ac:dyDescent="0.35"/>
    <row r="6163" s="13" customFormat="1" x14ac:dyDescent="0.35"/>
    <row r="6164" s="13" customFormat="1" x14ac:dyDescent="0.35"/>
    <row r="6165" s="13" customFormat="1" x14ac:dyDescent="0.35"/>
    <row r="6166" s="13" customFormat="1" x14ac:dyDescent="0.35"/>
    <row r="6167" s="13" customFormat="1" x14ac:dyDescent="0.35"/>
    <row r="6168" s="13" customFormat="1" x14ac:dyDescent="0.35"/>
    <row r="6169" s="13" customFormat="1" x14ac:dyDescent="0.35"/>
    <row r="6170" s="13" customFormat="1" x14ac:dyDescent="0.35"/>
    <row r="6171" s="13" customFormat="1" x14ac:dyDescent="0.35"/>
    <row r="6172" s="13" customFormat="1" x14ac:dyDescent="0.35"/>
    <row r="6173" s="13" customFormat="1" x14ac:dyDescent="0.35"/>
    <row r="6174" s="13" customFormat="1" x14ac:dyDescent="0.35"/>
    <row r="6175" s="13" customFormat="1" x14ac:dyDescent="0.35"/>
    <row r="6176" s="13" customFormat="1" x14ac:dyDescent="0.35"/>
    <row r="6177" s="13" customFormat="1" x14ac:dyDescent="0.35"/>
    <row r="6178" s="13" customFormat="1" x14ac:dyDescent="0.35"/>
    <row r="6179" s="13" customFormat="1" x14ac:dyDescent="0.35"/>
    <row r="6180" s="13" customFormat="1" x14ac:dyDescent="0.35"/>
    <row r="6181" s="13" customFormat="1" x14ac:dyDescent="0.35"/>
    <row r="6182" s="13" customFormat="1" x14ac:dyDescent="0.35"/>
    <row r="6183" s="13" customFormat="1" x14ac:dyDescent="0.35"/>
    <row r="6184" s="13" customFormat="1" x14ac:dyDescent="0.35"/>
    <row r="6185" s="13" customFormat="1" x14ac:dyDescent="0.35"/>
    <row r="6186" s="13" customFormat="1" x14ac:dyDescent="0.35"/>
    <row r="6187" s="13" customFormat="1" x14ac:dyDescent="0.35"/>
    <row r="6188" s="13" customFormat="1" x14ac:dyDescent="0.35"/>
    <row r="6189" s="13" customFormat="1" x14ac:dyDescent="0.35"/>
    <row r="6190" s="13" customFormat="1" x14ac:dyDescent="0.35"/>
    <row r="6191" s="13" customFormat="1" x14ac:dyDescent="0.35"/>
    <row r="6192" s="13" customFormat="1" x14ac:dyDescent="0.35"/>
    <row r="6193" s="13" customFormat="1" x14ac:dyDescent="0.35"/>
    <row r="6194" s="13" customFormat="1" x14ac:dyDescent="0.35"/>
    <row r="6195" s="13" customFormat="1" x14ac:dyDescent="0.35"/>
    <row r="6196" s="13" customFormat="1" x14ac:dyDescent="0.35"/>
    <row r="6197" s="13" customFormat="1" x14ac:dyDescent="0.35"/>
    <row r="6198" s="13" customFormat="1" x14ac:dyDescent="0.35"/>
    <row r="6199" s="13" customFormat="1" x14ac:dyDescent="0.35"/>
    <row r="6200" s="13" customFormat="1" x14ac:dyDescent="0.35"/>
    <row r="6201" s="13" customFormat="1" x14ac:dyDescent="0.35"/>
    <row r="6202" s="13" customFormat="1" x14ac:dyDescent="0.35"/>
    <row r="6203" s="13" customFormat="1" x14ac:dyDescent="0.35"/>
    <row r="6204" s="13" customFormat="1" x14ac:dyDescent="0.35"/>
    <row r="6205" s="13" customFormat="1" x14ac:dyDescent="0.35"/>
    <row r="6206" s="13" customFormat="1" x14ac:dyDescent="0.35"/>
    <row r="6207" s="13" customFormat="1" x14ac:dyDescent="0.35"/>
    <row r="6208" s="13" customFormat="1" x14ac:dyDescent="0.35"/>
    <row r="6209" s="13" customFormat="1" x14ac:dyDescent="0.35"/>
    <row r="6210" s="13" customFormat="1" x14ac:dyDescent="0.35"/>
    <row r="6211" s="13" customFormat="1" x14ac:dyDescent="0.35"/>
    <row r="6212" s="13" customFormat="1" x14ac:dyDescent="0.35"/>
    <row r="6213" s="13" customFormat="1" x14ac:dyDescent="0.35"/>
    <row r="6214" s="13" customFormat="1" x14ac:dyDescent="0.35"/>
    <row r="6215" s="13" customFormat="1" x14ac:dyDescent="0.35"/>
    <row r="6216" s="13" customFormat="1" x14ac:dyDescent="0.35"/>
    <row r="6217" s="13" customFormat="1" x14ac:dyDescent="0.35"/>
    <row r="6218" s="13" customFormat="1" x14ac:dyDescent="0.35"/>
    <row r="6219" s="13" customFormat="1" x14ac:dyDescent="0.35"/>
    <row r="6220" s="13" customFormat="1" x14ac:dyDescent="0.35"/>
    <row r="6221" s="13" customFormat="1" x14ac:dyDescent="0.35"/>
    <row r="6222" s="13" customFormat="1" x14ac:dyDescent="0.35"/>
    <row r="6223" s="13" customFormat="1" x14ac:dyDescent="0.35"/>
    <row r="6224" s="13" customFormat="1" x14ac:dyDescent="0.35"/>
    <row r="6225" s="13" customFormat="1" x14ac:dyDescent="0.35"/>
    <row r="6226" s="13" customFormat="1" x14ac:dyDescent="0.35"/>
    <row r="6227" s="13" customFormat="1" x14ac:dyDescent="0.35"/>
    <row r="6228" s="13" customFormat="1" x14ac:dyDescent="0.35"/>
    <row r="6229" s="13" customFormat="1" x14ac:dyDescent="0.35"/>
    <row r="6230" s="13" customFormat="1" x14ac:dyDescent="0.35"/>
    <row r="6231" s="13" customFormat="1" x14ac:dyDescent="0.35"/>
    <row r="6232" s="13" customFormat="1" x14ac:dyDescent="0.35"/>
    <row r="6233" s="13" customFormat="1" x14ac:dyDescent="0.35"/>
    <row r="6234" s="13" customFormat="1" x14ac:dyDescent="0.35"/>
    <row r="6235" s="13" customFormat="1" x14ac:dyDescent="0.35"/>
    <row r="6236" s="13" customFormat="1" x14ac:dyDescent="0.35"/>
    <row r="6237" s="13" customFormat="1" x14ac:dyDescent="0.35"/>
    <row r="6238" s="13" customFormat="1" x14ac:dyDescent="0.35"/>
    <row r="6239" s="13" customFormat="1" x14ac:dyDescent="0.35"/>
    <row r="6240" s="13" customFormat="1" x14ac:dyDescent="0.35"/>
    <row r="6241" s="13" customFormat="1" x14ac:dyDescent="0.35"/>
    <row r="6242" s="13" customFormat="1" x14ac:dyDescent="0.35"/>
    <row r="6243" s="13" customFormat="1" x14ac:dyDescent="0.35"/>
    <row r="6244" s="13" customFormat="1" x14ac:dyDescent="0.35"/>
    <row r="6245" s="13" customFormat="1" x14ac:dyDescent="0.35"/>
    <row r="6246" s="13" customFormat="1" x14ac:dyDescent="0.35"/>
    <row r="6247" s="13" customFormat="1" x14ac:dyDescent="0.35"/>
    <row r="6248" s="13" customFormat="1" x14ac:dyDescent="0.35"/>
    <row r="6249" s="13" customFormat="1" x14ac:dyDescent="0.35"/>
    <row r="6250" s="13" customFormat="1" x14ac:dyDescent="0.35"/>
    <row r="6251" s="13" customFormat="1" x14ac:dyDescent="0.35"/>
    <row r="6252" s="13" customFormat="1" x14ac:dyDescent="0.35"/>
    <row r="6253" s="13" customFormat="1" x14ac:dyDescent="0.35"/>
    <row r="6254" s="13" customFormat="1" x14ac:dyDescent="0.35"/>
    <row r="6255" s="13" customFormat="1" x14ac:dyDescent="0.35"/>
    <row r="6256" s="13" customFormat="1" x14ac:dyDescent="0.35"/>
    <row r="6257" s="13" customFormat="1" x14ac:dyDescent="0.35"/>
    <row r="6258" s="13" customFormat="1" x14ac:dyDescent="0.35"/>
    <row r="6259" s="13" customFormat="1" x14ac:dyDescent="0.35"/>
    <row r="6260" s="13" customFormat="1" x14ac:dyDescent="0.35"/>
    <row r="6261" s="13" customFormat="1" x14ac:dyDescent="0.35"/>
    <row r="6262" s="13" customFormat="1" x14ac:dyDescent="0.35"/>
    <row r="6263" s="13" customFormat="1" x14ac:dyDescent="0.35"/>
    <row r="6264" s="13" customFormat="1" x14ac:dyDescent="0.35"/>
    <row r="6265" s="13" customFormat="1" x14ac:dyDescent="0.35"/>
    <row r="6266" s="13" customFormat="1" x14ac:dyDescent="0.35"/>
    <row r="6267" s="13" customFormat="1" x14ac:dyDescent="0.35"/>
    <row r="6268" s="13" customFormat="1" x14ac:dyDescent="0.35"/>
    <row r="6269" s="13" customFormat="1" x14ac:dyDescent="0.35"/>
    <row r="6270" s="13" customFormat="1" x14ac:dyDescent="0.35"/>
    <row r="6271" s="13" customFormat="1" x14ac:dyDescent="0.35"/>
    <row r="6272" s="13" customFormat="1" x14ac:dyDescent="0.35"/>
    <row r="6273" s="13" customFormat="1" x14ac:dyDescent="0.35"/>
    <row r="6274" s="13" customFormat="1" x14ac:dyDescent="0.35"/>
    <row r="6275" s="13" customFormat="1" x14ac:dyDescent="0.35"/>
    <row r="6276" s="13" customFormat="1" x14ac:dyDescent="0.35"/>
    <row r="6277" s="13" customFormat="1" x14ac:dyDescent="0.35"/>
    <row r="6278" s="13" customFormat="1" x14ac:dyDescent="0.35"/>
    <row r="6279" s="13" customFormat="1" x14ac:dyDescent="0.35"/>
    <row r="6280" s="13" customFormat="1" x14ac:dyDescent="0.35"/>
    <row r="6281" s="13" customFormat="1" x14ac:dyDescent="0.35"/>
    <row r="6282" s="13" customFormat="1" x14ac:dyDescent="0.35"/>
    <row r="6283" s="13" customFormat="1" x14ac:dyDescent="0.35"/>
    <row r="6284" s="13" customFormat="1" x14ac:dyDescent="0.35"/>
    <row r="6285" s="13" customFormat="1" x14ac:dyDescent="0.35"/>
    <row r="6286" s="13" customFormat="1" x14ac:dyDescent="0.35"/>
    <row r="6287" s="13" customFormat="1" x14ac:dyDescent="0.35"/>
    <row r="6288" s="13" customFormat="1" x14ac:dyDescent="0.35"/>
    <row r="6289" s="13" customFormat="1" x14ac:dyDescent="0.35"/>
    <row r="6290" s="13" customFormat="1" x14ac:dyDescent="0.35"/>
    <row r="6291" s="13" customFormat="1" x14ac:dyDescent="0.35"/>
    <row r="6292" s="13" customFormat="1" x14ac:dyDescent="0.35"/>
    <row r="6293" s="13" customFormat="1" x14ac:dyDescent="0.35"/>
    <row r="6294" s="13" customFormat="1" x14ac:dyDescent="0.35"/>
    <row r="6295" s="13" customFormat="1" x14ac:dyDescent="0.35"/>
    <row r="6296" s="13" customFormat="1" x14ac:dyDescent="0.35"/>
    <row r="6297" s="13" customFormat="1" x14ac:dyDescent="0.35"/>
    <row r="6298" s="13" customFormat="1" x14ac:dyDescent="0.35"/>
    <row r="6299" s="13" customFormat="1" x14ac:dyDescent="0.35"/>
    <row r="6300" s="13" customFormat="1" x14ac:dyDescent="0.35"/>
    <row r="6301" s="13" customFormat="1" x14ac:dyDescent="0.35"/>
    <row r="6302" s="13" customFormat="1" x14ac:dyDescent="0.35"/>
    <row r="6303" s="13" customFormat="1" x14ac:dyDescent="0.35"/>
    <row r="6304" s="13" customFormat="1" x14ac:dyDescent="0.35"/>
    <row r="6305" s="13" customFormat="1" x14ac:dyDescent="0.35"/>
    <row r="6306" s="13" customFormat="1" x14ac:dyDescent="0.35"/>
    <row r="6307" s="13" customFormat="1" x14ac:dyDescent="0.35"/>
    <row r="6308" s="13" customFormat="1" x14ac:dyDescent="0.35"/>
    <row r="6309" s="13" customFormat="1" x14ac:dyDescent="0.35"/>
    <row r="6310" s="13" customFormat="1" x14ac:dyDescent="0.35"/>
    <row r="6311" s="13" customFormat="1" x14ac:dyDescent="0.35"/>
    <row r="6312" s="13" customFormat="1" x14ac:dyDescent="0.35"/>
    <row r="6313" s="13" customFormat="1" x14ac:dyDescent="0.35"/>
    <row r="6314" s="13" customFormat="1" x14ac:dyDescent="0.35"/>
    <row r="6315" s="13" customFormat="1" x14ac:dyDescent="0.35"/>
    <row r="6316" s="13" customFormat="1" x14ac:dyDescent="0.35"/>
    <row r="6317" s="13" customFormat="1" x14ac:dyDescent="0.35"/>
    <row r="6318" s="13" customFormat="1" x14ac:dyDescent="0.35"/>
    <row r="6319" s="13" customFormat="1" x14ac:dyDescent="0.35"/>
    <row r="6320" s="13" customFormat="1" x14ac:dyDescent="0.35"/>
    <row r="6321" s="13" customFormat="1" x14ac:dyDescent="0.35"/>
    <row r="6322" s="13" customFormat="1" x14ac:dyDescent="0.35"/>
    <row r="6323" s="13" customFormat="1" x14ac:dyDescent="0.35"/>
    <row r="6324" s="13" customFormat="1" x14ac:dyDescent="0.35"/>
    <row r="6325" s="13" customFormat="1" x14ac:dyDescent="0.35"/>
    <row r="6326" s="13" customFormat="1" x14ac:dyDescent="0.35"/>
    <row r="6327" s="13" customFormat="1" x14ac:dyDescent="0.35"/>
    <row r="6328" s="13" customFormat="1" x14ac:dyDescent="0.35"/>
    <row r="6329" s="13" customFormat="1" x14ac:dyDescent="0.35"/>
    <row r="6330" s="13" customFormat="1" x14ac:dyDescent="0.35"/>
    <row r="6331" s="13" customFormat="1" x14ac:dyDescent="0.35"/>
    <row r="6332" s="13" customFormat="1" x14ac:dyDescent="0.35"/>
    <row r="6333" s="13" customFormat="1" x14ac:dyDescent="0.35"/>
    <row r="6334" s="13" customFormat="1" x14ac:dyDescent="0.35"/>
    <row r="6335" s="13" customFormat="1" x14ac:dyDescent="0.35"/>
    <row r="6336" s="13" customFormat="1" x14ac:dyDescent="0.35"/>
    <row r="6337" s="13" customFormat="1" x14ac:dyDescent="0.35"/>
    <row r="6338" s="13" customFormat="1" x14ac:dyDescent="0.35"/>
    <row r="6339" s="13" customFormat="1" x14ac:dyDescent="0.35"/>
    <row r="6340" s="13" customFormat="1" x14ac:dyDescent="0.35"/>
    <row r="6341" s="13" customFormat="1" x14ac:dyDescent="0.35"/>
    <row r="6342" s="13" customFormat="1" x14ac:dyDescent="0.35"/>
    <row r="6343" s="13" customFormat="1" x14ac:dyDescent="0.35"/>
    <row r="6344" s="13" customFormat="1" x14ac:dyDescent="0.35"/>
    <row r="6345" s="13" customFormat="1" x14ac:dyDescent="0.35"/>
    <row r="6346" s="13" customFormat="1" x14ac:dyDescent="0.35"/>
    <row r="6347" s="13" customFormat="1" x14ac:dyDescent="0.35"/>
    <row r="6348" s="13" customFormat="1" x14ac:dyDescent="0.35"/>
    <row r="6349" s="13" customFormat="1" x14ac:dyDescent="0.35"/>
    <row r="6350" s="13" customFormat="1" x14ac:dyDescent="0.35"/>
    <row r="6351" s="13" customFormat="1" x14ac:dyDescent="0.35"/>
    <row r="6352" s="13" customFormat="1" x14ac:dyDescent="0.35"/>
    <row r="6353" s="13" customFormat="1" x14ac:dyDescent="0.35"/>
    <row r="6354" s="13" customFormat="1" x14ac:dyDescent="0.35"/>
    <row r="6355" s="13" customFormat="1" x14ac:dyDescent="0.35"/>
    <row r="6356" s="13" customFormat="1" x14ac:dyDescent="0.35"/>
    <row r="6357" s="13" customFormat="1" x14ac:dyDescent="0.35"/>
    <row r="6358" s="13" customFormat="1" x14ac:dyDescent="0.35"/>
    <row r="6359" s="13" customFormat="1" x14ac:dyDescent="0.35"/>
    <row r="6360" s="13" customFormat="1" x14ac:dyDescent="0.35"/>
    <row r="6361" s="13" customFormat="1" x14ac:dyDescent="0.35"/>
    <row r="6362" s="13" customFormat="1" x14ac:dyDescent="0.35"/>
    <row r="6363" s="13" customFormat="1" x14ac:dyDescent="0.35"/>
    <row r="6364" s="13" customFormat="1" x14ac:dyDescent="0.35"/>
    <row r="6365" s="13" customFormat="1" x14ac:dyDescent="0.35"/>
    <row r="6366" s="13" customFormat="1" x14ac:dyDescent="0.35"/>
    <row r="6367" s="13" customFormat="1" x14ac:dyDescent="0.35"/>
    <row r="6368" s="13" customFormat="1" x14ac:dyDescent="0.35"/>
    <row r="6369" s="13" customFormat="1" x14ac:dyDescent="0.35"/>
    <row r="6370" s="13" customFormat="1" x14ac:dyDescent="0.35"/>
    <row r="6371" s="13" customFormat="1" x14ac:dyDescent="0.35"/>
    <row r="6372" s="13" customFormat="1" x14ac:dyDescent="0.35"/>
    <row r="6373" s="13" customFormat="1" x14ac:dyDescent="0.35"/>
    <row r="6374" s="13" customFormat="1" x14ac:dyDescent="0.35"/>
    <row r="6375" s="13" customFormat="1" x14ac:dyDescent="0.35"/>
    <row r="6376" s="13" customFormat="1" x14ac:dyDescent="0.35"/>
    <row r="6377" s="13" customFormat="1" x14ac:dyDescent="0.35"/>
    <row r="6378" s="13" customFormat="1" x14ac:dyDescent="0.35"/>
    <row r="6379" s="13" customFormat="1" x14ac:dyDescent="0.35"/>
    <row r="6380" s="13" customFormat="1" x14ac:dyDescent="0.35"/>
    <row r="6381" s="13" customFormat="1" x14ac:dyDescent="0.35"/>
    <row r="6382" s="13" customFormat="1" x14ac:dyDescent="0.35"/>
    <row r="6383" s="13" customFormat="1" x14ac:dyDescent="0.35"/>
    <row r="6384" s="13" customFormat="1" x14ac:dyDescent="0.35"/>
    <row r="6385" s="13" customFormat="1" x14ac:dyDescent="0.35"/>
    <row r="6386" s="13" customFormat="1" x14ac:dyDescent="0.35"/>
    <row r="6387" s="13" customFormat="1" x14ac:dyDescent="0.35"/>
    <row r="6388" s="13" customFormat="1" x14ac:dyDescent="0.35"/>
    <row r="6389" s="13" customFormat="1" x14ac:dyDescent="0.35"/>
    <row r="6390" s="13" customFormat="1" x14ac:dyDescent="0.35"/>
    <row r="6391" s="13" customFormat="1" x14ac:dyDescent="0.35"/>
    <row r="6392" s="13" customFormat="1" x14ac:dyDescent="0.35"/>
    <row r="6393" s="13" customFormat="1" x14ac:dyDescent="0.35"/>
    <row r="6394" s="13" customFormat="1" x14ac:dyDescent="0.35"/>
    <row r="6395" s="13" customFormat="1" x14ac:dyDescent="0.35"/>
    <row r="6396" s="13" customFormat="1" x14ac:dyDescent="0.35"/>
    <row r="6397" s="13" customFormat="1" x14ac:dyDescent="0.35"/>
    <row r="6398" s="13" customFormat="1" x14ac:dyDescent="0.35"/>
    <row r="6399" s="13" customFormat="1" x14ac:dyDescent="0.35"/>
    <row r="6400" s="13" customFormat="1" x14ac:dyDescent="0.35"/>
    <row r="6401" s="13" customFormat="1" x14ac:dyDescent="0.35"/>
    <row r="6402" s="13" customFormat="1" x14ac:dyDescent="0.35"/>
    <row r="6403" s="13" customFormat="1" x14ac:dyDescent="0.35"/>
    <row r="6404" s="13" customFormat="1" x14ac:dyDescent="0.35"/>
    <row r="6405" s="13" customFormat="1" x14ac:dyDescent="0.35"/>
    <row r="6406" s="13" customFormat="1" x14ac:dyDescent="0.35"/>
    <row r="6407" s="13" customFormat="1" x14ac:dyDescent="0.35"/>
    <row r="6408" s="13" customFormat="1" x14ac:dyDescent="0.35"/>
    <row r="6409" s="13" customFormat="1" x14ac:dyDescent="0.35"/>
    <row r="6410" s="13" customFormat="1" x14ac:dyDescent="0.35"/>
    <row r="6411" s="13" customFormat="1" x14ac:dyDescent="0.35"/>
    <row r="6412" s="13" customFormat="1" x14ac:dyDescent="0.35"/>
    <row r="6413" s="13" customFormat="1" x14ac:dyDescent="0.35"/>
    <row r="6414" s="13" customFormat="1" x14ac:dyDescent="0.35"/>
    <row r="6415" s="13" customFormat="1" x14ac:dyDescent="0.35"/>
    <row r="6416" s="13" customFormat="1" x14ac:dyDescent="0.35"/>
    <row r="6417" s="13" customFormat="1" x14ac:dyDescent="0.35"/>
    <row r="6418" s="13" customFormat="1" x14ac:dyDescent="0.35"/>
    <row r="6419" s="13" customFormat="1" x14ac:dyDescent="0.35"/>
    <row r="6420" s="13" customFormat="1" x14ac:dyDescent="0.35"/>
    <row r="6421" s="13" customFormat="1" x14ac:dyDescent="0.35"/>
    <row r="6422" s="13" customFormat="1" x14ac:dyDescent="0.35"/>
    <row r="6423" s="13" customFormat="1" x14ac:dyDescent="0.35"/>
    <row r="6424" s="13" customFormat="1" x14ac:dyDescent="0.35"/>
    <row r="6425" s="13" customFormat="1" x14ac:dyDescent="0.35"/>
    <row r="6426" s="13" customFormat="1" x14ac:dyDescent="0.35"/>
    <row r="6427" s="13" customFormat="1" x14ac:dyDescent="0.35"/>
    <row r="6428" s="13" customFormat="1" x14ac:dyDescent="0.35"/>
    <row r="6429" s="13" customFormat="1" x14ac:dyDescent="0.35"/>
    <row r="6430" s="13" customFormat="1" x14ac:dyDescent="0.35"/>
    <row r="6431" s="13" customFormat="1" x14ac:dyDescent="0.35"/>
    <row r="6432" s="13" customFormat="1" x14ac:dyDescent="0.35"/>
    <row r="6433" s="13" customFormat="1" x14ac:dyDescent="0.35"/>
    <row r="6434" s="13" customFormat="1" x14ac:dyDescent="0.35"/>
    <row r="6435" s="13" customFormat="1" x14ac:dyDescent="0.35"/>
    <row r="6436" s="13" customFormat="1" x14ac:dyDescent="0.35"/>
    <row r="6437" s="13" customFormat="1" x14ac:dyDescent="0.35"/>
    <row r="6438" s="13" customFormat="1" x14ac:dyDescent="0.35"/>
    <row r="6439" s="13" customFormat="1" x14ac:dyDescent="0.35"/>
    <row r="6440" s="13" customFormat="1" x14ac:dyDescent="0.35"/>
    <row r="6441" s="13" customFormat="1" x14ac:dyDescent="0.35"/>
    <row r="6442" s="13" customFormat="1" x14ac:dyDescent="0.35"/>
    <row r="6443" s="13" customFormat="1" x14ac:dyDescent="0.35"/>
    <row r="6444" s="13" customFormat="1" x14ac:dyDescent="0.35"/>
    <row r="6445" s="13" customFormat="1" x14ac:dyDescent="0.35"/>
    <row r="6446" s="13" customFormat="1" x14ac:dyDescent="0.35"/>
    <row r="6447" s="13" customFormat="1" x14ac:dyDescent="0.35"/>
    <row r="6448" s="13" customFormat="1" x14ac:dyDescent="0.35"/>
    <row r="6449" s="13" customFormat="1" x14ac:dyDescent="0.35"/>
    <row r="6450" s="13" customFormat="1" x14ac:dyDescent="0.35"/>
    <row r="6451" s="13" customFormat="1" x14ac:dyDescent="0.35"/>
    <row r="6452" s="13" customFormat="1" x14ac:dyDescent="0.35"/>
    <row r="6453" s="13" customFormat="1" x14ac:dyDescent="0.35"/>
    <row r="6454" s="13" customFormat="1" x14ac:dyDescent="0.35"/>
    <row r="6455" s="13" customFormat="1" x14ac:dyDescent="0.35"/>
    <row r="6456" s="13" customFormat="1" x14ac:dyDescent="0.35"/>
    <row r="6457" s="13" customFormat="1" x14ac:dyDescent="0.35"/>
    <row r="6458" s="13" customFormat="1" x14ac:dyDescent="0.35"/>
    <row r="6459" s="13" customFormat="1" x14ac:dyDescent="0.35"/>
    <row r="6460" s="13" customFormat="1" x14ac:dyDescent="0.35"/>
    <row r="6461" s="13" customFormat="1" x14ac:dyDescent="0.35"/>
    <row r="6462" s="13" customFormat="1" x14ac:dyDescent="0.35"/>
    <row r="6463" s="13" customFormat="1" x14ac:dyDescent="0.35"/>
    <row r="6464" s="13" customFormat="1" x14ac:dyDescent="0.35"/>
    <row r="6465" s="13" customFormat="1" x14ac:dyDescent="0.35"/>
    <row r="6466" s="13" customFormat="1" x14ac:dyDescent="0.35"/>
    <row r="6467" s="13" customFormat="1" x14ac:dyDescent="0.35"/>
    <row r="6468" s="13" customFormat="1" x14ac:dyDescent="0.35"/>
    <row r="6469" s="13" customFormat="1" x14ac:dyDescent="0.35"/>
    <row r="6470" s="13" customFormat="1" x14ac:dyDescent="0.35"/>
    <row r="6471" s="13" customFormat="1" x14ac:dyDescent="0.35"/>
    <row r="6472" s="13" customFormat="1" x14ac:dyDescent="0.35"/>
    <row r="6473" s="13" customFormat="1" x14ac:dyDescent="0.35"/>
    <row r="6474" s="13" customFormat="1" x14ac:dyDescent="0.35"/>
    <row r="6475" s="13" customFormat="1" x14ac:dyDescent="0.35"/>
    <row r="6476" s="13" customFormat="1" x14ac:dyDescent="0.35"/>
    <row r="6477" s="13" customFormat="1" x14ac:dyDescent="0.35"/>
    <row r="6478" s="13" customFormat="1" x14ac:dyDescent="0.35"/>
    <row r="6479" s="13" customFormat="1" x14ac:dyDescent="0.35"/>
    <row r="6480" s="13" customFormat="1" x14ac:dyDescent="0.35"/>
    <row r="6481" s="13" customFormat="1" x14ac:dyDescent="0.35"/>
    <row r="6482" s="13" customFormat="1" x14ac:dyDescent="0.35"/>
    <row r="6483" s="13" customFormat="1" x14ac:dyDescent="0.35"/>
    <row r="6484" s="13" customFormat="1" x14ac:dyDescent="0.35"/>
    <row r="6485" s="13" customFormat="1" x14ac:dyDescent="0.35"/>
    <row r="6486" s="13" customFormat="1" x14ac:dyDescent="0.35"/>
    <row r="6487" s="13" customFormat="1" x14ac:dyDescent="0.35"/>
    <row r="6488" s="13" customFormat="1" x14ac:dyDescent="0.35"/>
    <row r="6489" s="13" customFormat="1" x14ac:dyDescent="0.35"/>
    <row r="6490" s="13" customFormat="1" x14ac:dyDescent="0.35"/>
    <row r="6491" s="13" customFormat="1" x14ac:dyDescent="0.35"/>
    <row r="6492" s="13" customFormat="1" x14ac:dyDescent="0.35"/>
    <row r="6493" s="13" customFormat="1" x14ac:dyDescent="0.35"/>
    <row r="6494" s="13" customFormat="1" x14ac:dyDescent="0.35"/>
    <row r="6495" s="13" customFormat="1" x14ac:dyDescent="0.35"/>
    <row r="6496" s="13" customFormat="1" x14ac:dyDescent="0.35"/>
    <row r="6497" s="13" customFormat="1" x14ac:dyDescent="0.35"/>
    <row r="6498" s="13" customFormat="1" x14ac:dyDescent="0.35"/>
    <row r="6499" s="13" customFormat="1" x14ac:dyDescent="0.35"/>
    <row r="6500" s="13" customFormat="1" x14ac:dyDescent="0.35"/>
    <row r="6501" s="13" customFormat="1" x14ac:dyDescent="0.35"/>
    <row r="6502" s="13" customFormat="1" x14ac:dyDescent="0.35"/>
    <row r="6503" s="13" customFormat="1" x14ac:dyDescent="0.35"/>
    <row r="6504" s="13" customFormat="1" x14ac:dyDescent="0.35"/>
    <row r="6505" s="13" customFormat="1" x14ac:dyDescent="0.35"/>
    <row r="6506" s="13" customFormat="1" x14ac:dyDescent="0.35"/>
    <row r="6507" s="13" customFormat="1" x14ac:dyDescent="0.35"/>
    <row r="6508" s="13" customFormat="1" x14ac:dyDescent="0.35"/>
    <row r="6509" s="13" customFormat="1" x14ac:dyDescent="0.35"/>
    <row r="6510" s="13" customFormat="1" x14ac:dyDescent="0.35"/>
    <row r="6511" s="13" customFormat="1" x14ac:dyDescent="0.35"/>
    <row r="6512" s="13" customFormat="1" x14ac:dyDescent="0.35"/>
    <row r="6513" s="13" customFormat="1" x14ac:dyDescent="0.35"/>
    <row r="6514" s="13" customFormat="1" x14ac:dyDescent="0.35"/>
    <row r="6515" s="13" customFormat="1" x14ac:dyDescent="0.35"/>
    <row r="6516" s="13" customFormat="1" x14ac:dyDescent="0.35"/>
    <row r="6517" s="13" customFormat="1" x14ac:dyDescent="0.35"/>
    <row r="6518" s="13" customFormat="1" x14ac:dyDescent="0.35"/>
    <row r="6519" s="13" customFormat="1" x14ac:dyDescent="0.35"/>
    <row r="6520" s="13" customFormat="1" x14ac:dyDescent="0.35"/>
    <row r="6521" s="13" customFormat="1" x14ac:dyDescent="0.35"/>
    <row r="6522" s="13" customFormat="1" x14ac:dyDescent="0.35"/>
    <row r="6523" s="13" customFormat="1" x14ac:dyDescent="0.35"/>
    <row r="6524" s="13" customFormat="1" x14ac:dyDescent="0.35"/>
    <row r="6525" s="13" customFormat="1" x14ac:dyDescent="0.35"/>
    <row r="6526" s="13" customFormat="1" x14ac:dyDescent="0.35"/>
    <row r="6527" s="13" customFormat="1" x14ac:dyDescent="0.35"/>
    <row r="6528" s="13" customFormat="1" x14ac:dyDescent="0.35"/>
    <row r="6529" s="13" customFormat="1" x14ac:dyDescent="0.35"/>
    <row r="6530" s="13" customFormat="1" x14ac:dyDescent="0.35"/>
    <row r="6531" s="13" customFormat="1" x14ac:dyDescent="0.35"/>
    <row r="6532" s="13" customFormat="1" x14ac:dyDescent="0.35"/>
    <row r="6533" s="13" customFormat="1" x14ac:dyDescent="0.35"/>
    <row r="6534" s="13" customFormat="1" x14ac:dyDescent="0.35"/>
    <row r="6535" s="13" customFormat="1" x14ac:dyDescent="0.35"/>
    <row r="6536" s="13" customFormat="1" x14ac:dyDescent="0.35"/>
    <row r="6537" s="13" customFormat="1" x14ac:dyDescent="0.35"/>
    <row r="6538" s="13" customFormat="1" x14ac:dyDescent="0.35"/>
    <row r="6539" s="13" customFormat="1" x14ac:dyDescent="0.35"/>
    <row r="6540" s="13" customFormat="1" x14ac:dyDescent="0.35"/>
    <row r="6541" s="13" customFormat="1" x14ac:dyDescent="0.35"/>
    <row r="6542" s="13" customFormat="1" x14ac:dyDescent="0.35"/>
    <row r="6543" s="13" customFormat="1" x14ac:dyDescent="0.35"/>
    <row r="6544" s="13" customFormat="1" x14ac:dyDescent="0.35"/>
    <row r="6545" s="13" customFormat="1" x14ac:dyDescent="0.35"/>
    <row r="6546" s="13" customFormat="1" x14ac:dyDescent="0.35"/>
    <row r="6547" s="13" customFormat="1" x14ac:dyDescent="0.35"/>
    <row r="6548" s="13" customFormat="1" x14ac:dyDescent="0.35"/>
    <row r="6549" s="13" customFormat="1" x14ac:dyDescent="0.35"/>
    <row r="6550" s="13" customFormat="1" x14ac:dyDescent="0.35"/>
    <row r="6551" s="13" customFormat="1" x14ac:dyDescent="0.35"/>
    <row r="6552" s="13" customFormat="1" x14ac:dyDescent="0.35"/>
    <row r="6553" s="13" customFormat="1" x14ac:dyDescent="0.35"/>
    <row r="6554" s="13" customFormat="1" x14ac:dyDescent="0.35"/>
    <row r="6555" s="13" customFormat="1" x14ac:dyDescent="0.35"/>
    <row r="6556" s="13" customFormat="1" x14ac:dyDescent="0.35"/>
    <row r="6557" s="13" customFormat="1" x14ac:dyDescent="0.35"/>
    <row r="6558" s="13" customFormat="1" x14ac:dyDescent="0.35"/>
    <row r="6559" s="13" customFormat="1" x14ac:dyDescent="0.35"/>
    <row r="6560" s="13" customFormat="1" x14ac:dyDescent="0.35"/>
    <row r="6561" s="13" customFormat="1" x14ac:dyDescent="0.35"/>
    <row r="6562" s="13" customFormat="1" x14ac:dyDescent="0.35"/>
    <row r="6563" s="13" customFormat="1" x14ac:dyDescent="0.35"/>
    <row r="6564" s="13" customFormat="1" x14ac:dyDescent="0.35"/>
    <row r="6565" s="13" customFormat="1" x14ac:dyDescent="0.35"/>
    <row r="6566" s="13" customFormat="1" x14ac:dyDescent="0.35"/>
    <row r="6567" s="13" customFormat="1" x14ac:dyDescent="0.35"/>
    <row r="6568" s="13" customFormat="1" x14ac:dyDescent="0.35"/>
    <row r="6569" s="13" customFormat="1" x14ac:dyDescent="0.35"/>
    <row r="6570" s="13" customFormat="1" x14ac:dyDescent="0.35"/>
    <row r="6571" s="13" customFormat="1" x14ac:dyDescent="0.35"/>
    <row r="6572" s="13" customFormat="1" x14ac:dyDescent="0.35"/>
    <row r="6573" s="13" customFormat="1" x14ac:dyDescent="0.35"/>
    <row r="6574" s="13" customFormat="1" x14ac:dyDescent="0.35"/>
    <row r="6575" s="13" customFormat="1" x14ac:dyDescent="0.35"/>
    <row r="6576" s="13" customFormat="1" x14ac:dyDescent="0.35"/>
    <row r="6577" s="13" customFormat="1" x14ac:dyDescent="0.35"/>
    <row r="6578" s="13" customFormat="1" x14ac:dyDescent="0.35"/>
    <row r="6579" s="13" customFormat="1" x14ac:dyDescent="0.35"/>
    <row r="6580" s="13" customFormat="1" x14ac:dyDescent="0.35"/>
    <row r="6581" s="13" customFormat="1" x14ac:dyDescent="0.35"/>
    <row r="6582" s="13" customFormat="1" x14ac:dyDescent="0.35"/>
    <row r="6583" s="13" customFormat="1" x14ac:dyDescent="0.35"/>
    <row r="6584" s="13" customFormat="1" x14ac:dyDescent="0.35"/>
    <row r="6585" s="13" customFormat="1" x14ac:dyDescent="0.35"/>
    <row r="6586" s="13" customFormat="1" x14ac:dyDescent="0.35"/>
    <row r="6587" s="13" customFormat="1" x14ac:dyDescent="0.35"/>
    <row r="6588" s="13" customFormat="1" x14ac:dyDescent="0.35"/>
    <row r="6589" s="13" customFormat="1" x14ac:dyDescent="0.35"/>
    <row r="6590" s="13" customFormat="1" x14ac:dyDescent="0.35"/>
    <row r="6591" s="13" customFormat="1" x14ac:dyDescent="0.35"/>
    <row r="6592" s="13" customFormat="1" x14ac:dyDescent="0.35"/>
    <row r="6593" s="13" customFormat="1" x14ac:dyDescent="0.35"/>
    <row r="6594" s="13" customFormat="1" x14ac:dyDescent="0.35"/>
    <row r="6595" s="13" customFormat="1" x14ac:dyDescent="0.35"/>
    <row r="6596" s="13" customFormat="1" x14ac:dyDescent="0.35"/>
    <row r="6597" s="13" customFormat="1" x14ac:dyDescent="0.35"/>
    <row r="6598" s="13" customFormat="1" x14ac:dyDescent="0.35"/>
    <row r="6599" s="13" customFormat="1" x14ac:dyDescent="0.35"/>
    <row r="6600" s="13" customFormat="1" x14ac:dyDescent="0.35"/>
    <row r="6601" s="13" customFormat="1" x14ac:dyDescent="0.35"/>
    <row r="6602" s="13" customFormat="1" x14ac:dyDescent="0.35"/>
    <row r="6603" s="13" customFormat="1" x14ac:dyDescent="0.35"/>
    <row r="6604" s="13" customFormat="1" x14ac:dyDescent="0.35"/>
    <row r="6605" s="13" customFormat="1" x14ac:dyDescent="0.35"/>
    <row r="6606" s="13" customFormat="1" x14ac:dyDescent="0.35"/>
    <row r="6607" s="13" customFormat="1" x14ac:dyDescent="0.35"/>
    <row r="6608" s="13" customFormat="1" x14ac:dyDescent="0.35"/>
    <row r="6609" s="13" customFormat="1" x14ac:dyDescent="0.35"/>
    <row r="6610" s="13" customFormat="1" x14ac:dyDescent="0.35"/>
    <row r="6611" s="13" customFormat="1" x14ac:dyDescent="0.35"/>
    <row r="6612" s="13" customFormat="1" x14ac:dyDescent="0.35"/>
    <row r="6613" s="13" customFormat="1" x14ac:dyDescent="0.35"/>
    <row r="6614" s="13" customFormat="1" x14ac:dyDescent="0.35"/>
    <row r="6615" s="13" customFormat="1" x14ac:dyDescent="0.35"/>
    <row r="6616" s="13" customFormat="1" x14ac:dyDescent="0.35"/>
    <row r="6617" s="13" customFormat="1" x14ac:dyDescent="0.35"/>
    <row r="6618" s="13" customFormat="1" x14ac:dyDescent="0.35"/>
    <row r="6619" s="13" customFormat="1" x14ac:dyDescent="0.35"/>
    <row r="6620" s="13" customFormat="1" x14ac:dyDescent="0.35"/>
    <row r="6621" s="13" customFormat="1" x14ac:dyDescent="0.35"/>
    <row r="6622" s="13" customFormat="1" x14ac:dyDescent="0.35"/>
    <row r="6623" s="13" customFormat="1" x14ac:dyDescent="0.35"/>
    <row r="6624" s="13" customFormat="1" x14ac:dyDescent="0.35"/>
    <row r="6625" s="13" customFormat="1" x14ac:dyDescent="0.35"/>
    <row r="6626" s="13" customFormat="1" x14ac:dyDescent="0.35"/>
    <row r="6627" s="13" customFormat="1" x14ac:dyDescent="0.35"/>
    <row r="6628" s="13" customFormat="1" x14ac:dyDescent="0.35"/>
    <row r="6629" s="13" customFormat="1" x14ac:dyDescent="0.35"/>
    <row r="6630" s="13" customFormat="1" x14ac:dyDescent="0.35"/>
    <row r="6631" s="13" customFormat="1" x14ac:dyDescent="0.35"/>
    <row r="6632" s="13" customFormat="1" x14ac:dyDescent="0.35"/>
    <row r="6633" s="13" customFormat="1" x14ac:dyDescent="0.35"/>
    <row r="6634" s="13" customFormat="1" x14ac:dyDescent="0.35"/>
    <row r="6635" s="13" customFormat="1" x14ac:dyDescent="0.35"/>
    <row r="6636" s="13" customFormat="1" x14ac:dyDescent="0.35"/>
    <row r="6637" s="13" customFormat="1" x14ac:dyDescent="0.35"/>
    <row r="6638" s="13" customFormat="1" x14ac:dyDescent="0.35"/>
    <row r="6639" s="13" customFormat="1" x14ac:dyDescent="0.35"/>
    <row r="6640" s="13" customFormat="1" x14ac:dyDescent="0.35"/>
    <row r="6641" s="13" customFormat="1" x14ac:dyDescent="0.35"/>
    <row r="6642" s="13" customFormat="1" x14ac:dyDescent="0.35"/>
    <row r="6643" s="13" customFormat="1" x14ac:dyDescent="0.35"/>
    <row r="6644" s="13" customFormat="1" x14ac:dyDescent="0.35"/>
    <row r="6645" s="13" customFormat="1" x14ac:dyDescent="0.35"/>
    <row r="6646" s="13" customFormat="1" x14ac:dyDescent="0.35"/>
    <row r="6647" s="13" customFormat="1" x14ac:dyDescent="0.35"/>
    <row r="6648" s="13" customFormat="1" x14ac:dyDescent="0.35"/>
    <row r="6649" s="13" customFormat="1" x14ac:dyDescent="0.35"/>
    <row r="6650" s="13" customFormat="1" x14ac:dyDescent="0.35"/>
    <row r="6651" s="13" customFormat="1" x14ac:dyDescent="0.35"/>
    <row r="6652" s="13" customFormat="1" x14ac:dyDescent="0.35"/>
    <row r="6653" s="13" customFormat="1" x14ac:dyDescent="0.35"/>
    <row r="6654" s="13" customFormat="1" x14ac:dyDescent="0.35"/>
    <row r="6655" s="13" customFormat="1" x14ac:dyDescent="0.35"/>
    <row r="6656" s="13" customFormat="1" x14ac:dyDescent="0.35"/>
    <row r="6657" s="13" customFormat="1" x14ac:dyDescent="0.35"/>
    <row r="6658" s="13" customFormat="1" x14ac:dyDescent="0.35"/>
    <row r="6659" s="13" customFormat="1" x14ac:dyDescent="0.35"/>
    <row r="6660" s="13" customFormat="1" x14ac:dyDescent="0.35"/>
    <row r="6661" s="13" customFormat="1" x14ac:dyDescent="0.35"/>
    <row r="6662" s="13" customFormat="1" x14ac:dyDescent="0.35"/>
    <row r="6663" s="13" customFormat="1" x14ac:dyDescent="0.35"/>
    <row r="6664" s="13" customFormat="1" x14ac:dyDescent="0.35"/>
    <row r="6665" s="13" customFormat="1" x14ac:dyDescent="0.35"/>
    <row r="6666" s="13" customFormat="1" x14ac:dyDescent="0.35"/>
    <row r="6667" s="13" customFormat="1" x14ac:dyDescent="0.35"/>
    <row r="6668" s="13" customFormat="1" x14ac:dyDescent="0.35"/>
    <row r="6669" s="13" customFormat="1" x14ac:dyDescent="0.35"/>
    <row r="6670" s="13" customFormat="1" x14ac:dyDescent="0.35"/>
    <row r="6671" s="13" customFormat="1" x14ac:dyDescent="0.35"/>
    <row r="6672" s="13" customFormat="1" x14ac:dyDescent="0.35"/>
    <row r="6673" s="13" customFormat="1" x14ac:dyDescent="0.35"/>
    <row r="6674" s="13" customFormat="1" x14ac:dyDescent="0.35"/>
    <row r="6675" s="13" customFormat="1" x14ac:dyDescent="0.35"/>
    <row r="6676" s="13" customFormat="1" x14ac:dyDescent="0.35"/>
    <row r="6677" s="13" customFormat="1" x14ac:dyDescent="0.35"/>
    <row r="6678" s="13" customFormat="1" x14ac:dyDescent="0.35"/>
    <row r="6679" s="13" customFormat="1" x14ac:dyDescent="0.35"/>
    <row r="6680" s="13" customFormat="1" x14ac:dyDescent="0.35"/>
    <row r="6681" s="13" customFormat="1" x14ac:dyDescent="0.35"/>
    <row r="6682" s="13" customFormat="1" x14ac:dyDescent="0.35"/>
    <row r="6683" s="13" customFormat="1" x14ac:dyDescent="0.35"/>
    <row r="6684" s="13" customFormat="1" x14ac:dyDescent="0.35"/>
    <row r="6685" s="13" customFormat="1" x14ac:dyDescent="0.35"/>
    <row r="6686" s="13" customFormat="1" x14ac:dyDescent="0.35"/>
    <row r="6687" s="13" customFormat="1" x14ac:dyDescent="0.35"/>
    <row r="6688" s="13" customFormat="1" x14ac:dyDescent="0.35"/>
    <row r="6689" s="13" customFormat="1" x14ac:dyDescent="0.35"/>
    <row r="6690" s="13" customFormat="1" x14ac:dyDescent="0.35"/>
    <row r="6691" s="13" customFormat="1" x14ac:dyDescent="0.35"/>
    <row r="6692" s="13" customFormat="1" x14ac:dyDescent="0.35"/>
    <row r="6693" s="13" customFormat="1" x14ac:dyDescent="0.35"/>
    <row r="6694" s="13" customFormat="1" x14ac:dyDescent="0.35"/>
    <row r="6695" s="13" customFormat="1" x14ac:dyDescent="0.35"/>
    <row r="6696" s="13" customFormat="1" x14ac:dyDescent="0.35"/>
    <row r="6697" s="13" customFormat="1" x14ac:dyDescent="0.35"/>
    <row r="6698" s="13" customFormat="1" x14ac:dyDescent="0.35"/>
    <row r="6699" s="13" customFormat="1" x14ac:dyDescent="0.35"/>
    <row r="6700" s="13" customFormat="1" x14ac:dyDescent="0.35"/>
    <row r="6701" s="13" customFormat="1" x14ac:dyDescent="0.35"/>
    <row r="6702" s="13" customFormat="1" x14ac:dyDescent="0.35"/>
    <row r="6703" s="13" customFormat="1" x14ac:dyDescent="0.35"/>
    <row r="6704" s="13" customFormat="1" x14ac:dyDescent="0.35"/>
    <row r="6705" s="13" customFormat="1" x14ac:dyDescent="0.35"/>
    <row r="6706" s="13" customFormat="1" x14ac:dyDescent="0.35"/>
    <row r="6707" s="13" customFormat="1" x14ac:dyDescent="0.35"/>
    <row r="6708" s="13" customFormat="1" x14ac:dyDescent="0.35"/>
    <row r="6709" s="13" customFormat="1" x14ac:dyDescent="0.35"/>
    <row r="6710" s="13" customFormat="1" x14ac:dyDescent="0.35"/>
    <row r="6711" s="13" customFormat="1" x14ac:dyDescent="0.35"/>
    <row r="6712" s="13" customFormat="1" x14ac:dyDescent="0.35"/>
    <row r="6713" s="13" customFormat="1" x14ac:dyDescent="0.35"/>
    <row r="6714" s="13" customFormat="1" x14ac:dyDescent="0.35"/>
    <row r="6715" s="13" customFormat="1" x14ac:dyDescent="0.35"/>
    <row r="6716" s="13" customFormat="1" x14ac:dyDescent="0.35"/>
    <row r="6717" s="13" customFormat="1" x14ac:dyDescent="0.35"/>
    <row r="6718" s="13" customFormat="1" x14ac:dyDescent="0.35"/>
    <row r="6719" s="13" customFormat="1" x14ac:dyDescent="0.35"/>
    <row r="6720" s="13" customFormat="1" x14ac:dyDescent="0.35"/>
    <row r="6721" s="13" customFormat="1" x14ac:dyDescent="0.35"/>
    <row r="6722" s="13" customFormat="1" x14ac:dyDescent="0.35"/>
    <row r="6723" s="13" customFormat="1" x14ac:dyDescent="0.35"/>
    <row r="6724" s="13" customFormat="1" x14ac:dyDescent="0.35"/>
    <row r="6725" s="13" customFormat="1" x14ac:dyDescent="0.35"/>
    <row r="6726" s="13" customFormat="1" x14ac:dyDescent="0.35"/>
    <row r="6727" s="13" customFormat="1" x14ac:dyDescent="0.35"/>
    <row r="6728" s="13" customFormat="1" x14ac:dyDescent="0.35"/>
    <row r="6729" s="13" customFormat="1" x14ac:dyDescent="0.35"/>
    <row r="6730" s="13" customFormat="1" x14ac:dyDescent="0.35"/>
    <row r="6731" s="13" customFormat="1" x14ac:dyDescent="0.35"/>
    <row r="6732" s="13" customFormat="1" x14ac:dyDescent="0.35"/>
    <row r="6733" s="13" customFormat="1" x14ac:dyDescent="0.35"/>
    <row r="6734" s="13" customFormat="1" x14ac:dyDescent="0.35"/>
    <row r="6735" s="13" customFormat="1" x14ac:dyDescent="0.35"/>
    <row r="6736" s="13" customFormat="1" x14ac:dyDescent="0.35"/>
    <row r="6737" s="13" customFormat="1" x14ac:dyDescent="0.35"/>
    <row r="6738" s="13" customFormat="1" x14ac:dyDescent="0.35"/>
    <row r="6739" s="13" customFormat="1" x14ac:dyDescent="0.35"/>
    <row r="6740" s="13" customFormat="1" x14ac:dyDescent="0.35"/>
    <row r="6741" s="13" customFormat="1" x14ac:dyDescent="0.35"/>
    <row r="6742" s="13" customFormat="1" x14ac:dyDescent="0.35"/>
    <row r="6743" s="13" customFormat="1" x14ac:dyDescent="0.35"/>
    <row r="6744" s="13" customFormat="1" x14ac:dyDescent="0.35"/>
    <row r="6745" s="13" customFormat="1" x14ac:dyDescent="0.35"/>
    <row r="6746" s="13" customFormat="1" x14ac:dyDescent="0.35"/>
    <row r="6747" s="13" customFormat="1" x14ac:dyDescent="0.35"/>
    <row r="6748" s="13" customFormat="1" x14ac:dyDescent="0.35"/>
    <row r="6749" s="13" customFormat="1" x14ac:dyDescent="0.35"/>
    <row r="6750" s="13" customFormat="1" x14ac:dyDescent="0.35"/>
    <row r="6751" s="13" customFormat="1" x14ac:dyDescent="0.35"/>
    <row r="6752" s="13" customFormat="1" x14ac:dyDescent="0.35"/>
    <row r="6753" s="13" customFormat="1" x14ac:dyDescent="0.35"/>
    <row r="6754" s="13" customFormat="1" x14ac:dyDescent="0.35"/>
    <row r="6755" s="13" customFormat="1" x14ac:dyDescent="0.35"/>
    <row r="6756" s="13" customFormat="1" x14ac:dyDescent="0.35"/>
    <row r="6757" s="13" customFormat="1" x14ac:dyDescent="0.35"/>
    <row r="6758" s="13" customFormat="1" x14ac:dyDescent="0.35"/>
    <row r="6759" s="13" customFormat="1" x14ac:dyDescent="0.35"/>
    <row r="6760" s="13" customFormat="1" x14ac:dyDescent="0.35"/>
    <row r="6761" s="13" customFormat="1" x14ac:dyDescent="0.35"/>
    <row r="6762" s="13" customFormat="1" x14ac:dyDescent="0.35"/>
    <row r="6763" s="13" customFormat="1" x14ac:dyDescent="0.35"/>
    <row r="6764" s="13" customFormat="1" x14ac:dyDescent="0.35"/>
    <row r="6765" s="13" customFormat="1" x14ac:dyDescent="0.35"/>
    <row r="6766" s="13" customFormat="1" x14ac:dyDescent="0.35"/>
    <row r="6767" s="13" customFormat="1" x14ac:dyDescent="0.35"/>
    <row r="6768" s="13" customFormat="1" x14ac:dyDescent="0.35"/>
    <row r="6769" s="13" customFormat="1" x14ac:dyDescent="0.35"/>
    <row r="6770" s="13" customFormat="1" x14ac:dyDescent="0.35"/>
    <row r="6771" s="13" customFormat="1" x14ac:dyDescent="0.35"/>
    <row r="6772" s="13" customFormat="1" x14ac:dyDescent="0.35"/>
    <row r="6773" s="13" customFormat="1" x14ac:dyDescent="0.35"/>
    <row r="6774" s="13" customFormat="1" x14ac:dyDescent="0.35"/>
    <row r="6775" s="13" customFormat="1" x14ac:dyDescent="0.35"/>
    <row r="6776" s="13" customFormat="1" x14ac:dyDescent="0.35"/>
    <row r="6777" s="13" customFormat="1" x14ac:dyDescent="0.35"/>
    <row r="6778" s="13" customFormat="1" x14ac:dyDescent="0.35"/>
    <row r="6779" s="13" customFormat="1" x14ac:dyDescent="0.35"/>
    <row r="6780" s="13" customFormat="1" x14ac:dyDescent="0.35"/>
    <row r="6781" s="13" customFormat="1" x14ac:dyDescent="0.35"/>
    <row r="6782" s="13" customFormat="1" x14ac:dyDescent="0.35"/>
    <row r="6783" s="13" customFormat="1" x14ac:dyDescent="0.35"/>
    <row r="6784" s="13" customFormat="1" x14ac:dyDescent="0.35"/>
    <row r="6785" s="13" customFormat="1" x14ac:dyDescent="0.35"/>
    <row r="6786" s="13" customFormat="1" x14ac:dyDescent="0.35"/>
    <row r="6787" s="13" customFormat="1" x14ac:dyDescent="0.35"/>
    <row r="6788" s="13" customFormat="1" x14ac:dyDescent="0.35"/>
    <row r="6789" s="13" customFormat="1" x14ac:dyDescent="0.35"/>
    <row r="6790" s="13" customFormat="1" x14ac:dyDescent="0.35"/>
    <row r="6791" s="13" customFormat="1" x14ac:dyDescent="0.35"/>
    <row r="6792" s="13" customFormat="1" x14ac:dyDescent="0.35"/>
    <row r="6793" s="13" customFormat="1" x14ac:dyDescent="0.35"/>
    <row r="6794" s="13" customFormat="1" x14ac:dyDescent="0.35"/>
    <row r="6795" s="13" customFormat="1" x14ac:dyDescent="0.35"/>
    <row r="6796" s="13" customFormat="1" x14ac:dyDescent="0.35"/>
    <row r="6797" s="13" customFormat="1" x14ac:dyDescent="0.35"/>
    <row r="6798" s="13" customFormat="1" x14ac:dyDescent="0.35"/>
    <row r="6799" s="13" customFormat="1" x14ac:dyDescent="0.35"/>
    <row r="6800" s="13" customFormat="1" x14ac:dyDescent="0.35"/>
    <row r="6801" s="13" customFormat="1" x14ac:dyDescent="0.35"/>
    <row r="6802" s="13" customFormat="1" x14ac:dyDescent="0.35"/>
    <row r="6803" s="13" customFormat="1" x14ac:dyDescent="0.35"/>
    <row r="6804" s="13" customFormat="1" x14ac:dyDescent="0.35"/>
    <row r="6805" s="13" customFormat="1" x14ac:dyDescent="0.35"/>
    <row r="6806" s="13" customFormat="1" x14ac:dyDescent="0.35"/>
    <row r="6807" s="13" customFormat="1" x14ac:dyDescent="0.35"/>
    <row r="6808" s="13" customFormat="1" x14ac:dyDescent="0.35"/>
    <row r="6809" s="13" customFormat="1" x14ac:dyDescent="0.35"/>
    <row r="6810" s="13" customFormat="1" x14ac:dyDescent="0.35"/>
    <row r="6811" s="13" customFormat="1" x14ac:dyDescent="0.35"/>
    <row r="6812" s="13" customFormat="1" x14ac:dyDescent="0.35"/>
    <row r="6813" s="13" customFormat="1" x14ac:dyDescent="0.35"/>
    <row r="6814" s="13" customFormat="1" x14ac:dyDescent="0.35"/>
    <row r="6815" s="13" customFormat="1" x14ac:dyDescent="0.35"/>
    <row r="6816" s="13" customFormat="1" x14ac:dyDescent="0.35"/>
    <row r="6817" s="13" customFormat="1" x14ac:dyDescent="0.35"/>
    <row r="6818" s="13" customFormat="1" x14ac:dyDescent="0.35"/>
    <row r="6819" s="13" customFormat="1" x14ac:dyDescent="0.35"/>
    <row r="6820" s="13" customFormat="1" x14ac:dyDescent="0.35"/>
    <row r="6821" s="13" customFormat="1" x14ac:dyDescent="0.35"/>
    <row r="6822" s="13" customFormat="1" x14ac:dyDescent="0.35"/>
    <row r="6823" s="13" customFormat="1" x14ac:dyDescent="0.35"/>
    <row r="6824" s="13" customFormat="1" x14ac:dyDescent="0.35"/>
    <row r="6825" s="13" customFormat="1" x14ac:dyDescent="0.35"/>
    <row r="6826" s="13" customFormat="1" x14ac:dyDescent="0.35"/>
    <row r="6827" s="13" customFormat="1" x14ac:dyDescent="0.35"/>
    <row r="6828" s="13" customFormat="1" x14ac:dyDescent="0.35"/>
    <row r="6829" s="13" customFormat="1" x14ac:dyDescent="0.35"/>
    <row r="6830" s="13" customFormat="1" x14ac:dyDescent="0.35"/>
    <row r="6831" s="13" customFormat="1" x14ac:dyDescent="0.35"/>
    <row r="6832" s="13" customFormat="1" x14ac:dyDescent="0.35"/>
    <row r="6833" s="13" customFormat="1" x14ac:dyDescent="0.35"/>
    <row r="6834" s="13" customFormat="1" x14ac:dyDescent="0.35"/>
    <row r="6835" s="13" customFormat="1" x14ac:dyDescent="0.35"/>
    <row r="6836" s="13" customFormat="1" x14ac:dyDescent="0.35"/>
    <row r="6837" s="13" customFormat="1" x14ac:dyDescent="0.35"/>
    <row r="6838" s="13" customFormat="1" x14ac:dyDescent="0.35"/>
    <row r="6839" s="13" customFormat="1" x14ac:dyDescent="0.35"/>
    <row r="6840" s="13" customFormat="1" x14ac:dyDescent="0.35"/>
    <row r="6841" s="13" customFormat="1" x14ac:dyDescent="0.35"/>
    <row r="6842" s="13" customFormat="1" x14ac:dyDescent="0.35"/>
    <row r="6843" s="13" customFormat="1" x14ac:dyDescent="0.35"/>
    <row r="6844" s="13" customFormat="1" x14ac:dyDescent="0.35"/>
    <row r="6845" s="13" customFormat="1" x14ac:dyDescent="0.35"/>
    <row r="6846" s="13" customFormat="1" x14ac:dyDescent="0.35"/>
    <row r="6847" s="13" customFormat="1" x14ac:dyDescent="0.35"/>
    <row r="6848" s="13" customFormat="1" x14ac:dyDescent="0.35"/>
    <row r="6849" s="13" customFormat="1" x14ac:dyDescent="0.35"/>
    <row r="6850" s="13" customFormat="1" x14ac:dyDescent="0.35"/>
    <row r="6851" s="13" customFormat="1" x14ac:dyDescent="0.35"/>
    <row r="6852" s="13" customFormat="1" x14ac:dyDescent="0.35"/>
    <row r="6853" s="13" customFormat="1" x14ac:dyDescent="0.35"/>
    <row r="6854" s="13" customFormat="1" x14ac:dyDescent="0.35"/>
    <row r="6855" s="13" customFormat="1" x14ac:dyDescent="0.35"/>
    <row r="6856" s="13" customFormat="1" x14ac:dyDescent="0.35"/>
    <row r="6857" s="13" customFormat="1" x14ac:dyDescent="0.35"/>
    <row r="6858" s="13" customFormat="1" x14ac:dyDescent="0.35"/>
    <row r="6859" s="13" customFormat="1" x14ac:dyDescent="0.35"/>
    <row r="6860" s="13" customFormat="1" x14ac:dyDescent="0.35"/>
    <row r="6861" s="13" customFormat="1" x14ac:dyDescent="0.35"/>
    <row r="6862" s="13" customFormat="1" x14ac:dyDescent="0.35"/>
    <row r="6863" s="13" customFormat="1" x14ac:dyDescent="0.35"/>
    <row r="6864" s="13" customFormat="1" x14ac:dyDescent="0.35"/>
    <row r="6865" s="13" customFormat="1" x14ac:dyDescent="0.35"/>
    <row r="6866" s="13" customFormat="1" x14ac:dyDescent="0.35"/>
    <row r="6867" s="13" customFormat="1" x14ac:dyDescent="0.35"/>
    <row r="6868" s="13" customFormat="1" x14ac:dyDescent="0.35"/>
    <row r="6869" s="13" customFormat="1" x14ac:dyDescent="0.35"/>
    <row r="6870" s="13" customFormat="1" x14ac:dyDescent="0.35"/>
    <row r="6871" s="13" customFormat="1" x14ac:dyDescent="0.35"/>
    <row r="6872" s="13" customFormat="1" x14ac:dyDescent="0.35"/>
    <row r="6873" s="13" customFormat="1" x14ac:dyDescent="0.35"/>
    <row r="6874" s="13" customFormat="1" x14ac:dyDescent="0.35"/>
    <row r="6875" s="13" customFormat="1" x14ac:dyDescent="0.35"/>
    <row r="6876" s="13" customFormat="1" x14ac:dyDescent="0.35"/>
    <row r="6877" s="13" customFormat="1" x14ac:dyDescent="0.35"/>
    <row r="6878" s="13" customFormat="1" x14ac:dyDescent="0.35"/>
    <row r="6879" s="13" customFormat="1" x14ac:dyDescent="0.35"/>
    <row r="6880" s="13" customFormat="1" x14ac:dyDescent="0.35"/>
    <row r="6881" s="13" customFormat="1" x14ac:dyDescent="0.35"/>
    <row r="6882" s="13" customFormat="1" x14ac:dyDescent="0.35"/>
    <row r="6883" s="13" customFormat="1" x14ac:dyDescent="0.35"/>
    <row r="6884" s="13" customFormat="1" x14ac:dyDescent="0.35"/>
    <row r="6885" s="13" customFormat="1" x14ac:dyDescent="0.35"/>
    <row r="6886" s="13" customFormat="1" x14ac:dyDescent="0.35"/>
    <row r="6887" s="13" customFormat="1" x14ac:dyDescent="0.35"/>
    <row r="6888" s="13" customFormat="1" x14ac:dyDescent="0.35"/>
    <row r="6889" s="13" customFormat="1" x14ac:dyDescent="0.35"/>
    <row r="6890" s="13" customFormat="1" x14ac:dyDescent="0.35"/>
    <row r="6891" s="13" customFormat="1" x14ac:dyDescent="0.35"/>
    <row r="6892" s="13" customFormat="1" x14ac:dyDescent="0.35"/>
    <row r="6893" s="13" customFormat="1" x14ac:dyDescent="0.35"/>
    <row r="6894" s="13" customFormat="1" x14ac:dyDescent="0.35"/>
    <row r="6895" s="13" customFormat="1" x14ac:dyDescent="0.35"/>
    <row r="6896" s="13" customFormat="1" x14ac:dyDescent="0.35"/>
    <row r="6897" s="13" customFormat="1" x14ac:dyDescent="0.35"/>
    <row r="6898" s="13" customFormat="1" x14ac:dyDescent="0.35"/>
    <row r="6899" s="13" customFormat="1" x14ac:dyDescent="0.35"/>
    <row r="6900" s="13" customFormat="1" x14ac:dyDescent="0.35"/>
    <row r="6901" s="13" customFormat="1" x14ac:dyDescent="0.35"/>
    <row r="6902" s="13" customFormat="1" x14ac:dyDescent="0.35"/>
    <row r="6903" s="13" customFormat="1" x14ac:dyDescent="0.35"/>
    <row r="6904" s="13" customFormat="1" x14ac:dyDescent="0.35"/>
    <row r="6905" s="13" customFormat="1" x14ac:dyDescent="0.35"/>
    <row r="6906" s="13" customFormat="1" x14ac:dyDescent="0.35"/>
    <row r="6907" s="13" customFormat="1" x14ac:dyDescent="0.35"/>
    <row r="6908" s="13" customFormat="1" x14ac:dyDescent="0.35"/>
    <row r="6909" s="13" customFormat="1" x14ac:dyDescent="0.35"/>
    <row r="6910" s="13" customFormat="1" x14ac:dyDescent="0.35"/>
    <row r="6911" s="13" customFormat="1" x14ac:dyDescent="0.35"/>
    <row r="6912" s="13" customFormat="1" x14ac:dyDescent="0.35"/>
    <row r="6913" s="13" customFormat="1" x14ac:dyDescent="0.35"/>
    <row r="6914" s="13" customFormat="1" x14ac:dyDescent="0.35"/>
    <row r="6915" s="13" customFormat="1" x14ac:dyDescent="0.35"/>
    <row r="6916" s="13" customFormat="1" x14ac:dyDescent="0.35"/>
    <row r="6917" s="13" customFormat="1" x14ac:dyDescent="0.35"/>
    <row r="6918" s="13" customFormat="1" x14ac:dyDescent="0.35"/>
    <row r="6919" s="13" customFormat="1" x14ac:dyDescent="0.35"/>
    <row r="6920" s="13" customFormat="1" x14ac:dyDescent="0.35"/>
    <row r="6921" s="13" customFormat="1" x14ac:dyDescent="0.35"/>
    <row r="6922" s="13" customFormat="1" x14ac:dyDescent="0.35"/>
    <row r="6923" s="13" customFormat="1" x14ac:dyDescent="0.35"/>
    <row r="6924" s="13" customFormat="1" x14ac:dyDescent="0.35"/>
    <row r="6925" s="13" customFormat="1" x14ac:dyDescent="0.35"/>
    <row r="6926" s="13" customFormat="1" x14ac:dyDescent="0.35"/>
    <row r="6927" s="13" customFormat="1" x14ac:dyDescent="0.35"/>
    <row r="6928" s="13" customFormat="1" x14ac:dyDescent="0.35"/>
    <row r="6929" s="13" customFormat="1" x14ac:dyDescent="0.35"/>
    <row r="6930" s="13" customFormat="1" x14ac:dyDescent="0.35"/>
    <row r="6931" s="13" customFormat="1" x14ac:dyDescent="0.35"/>
    <row r="6932" s="13" customFormat="1" x14ac:dyDescent="0.35"/>
    <row r="6933" s="13" customFormat="1" x14ac:dyDescent="0.35"/>
    <row r="6934" s="13" customFormat="1" x14ac:dyDescent="0.35"/>
    <row r="6935" s="13" customFormat="1" x14ac:dyDescent="0.35"/>
    <row r="6936" s="13" customFormat="1" x14ac:dyDescent="0.35"/>
    <row r="6937" s="13" customFormat="1" x14ac:dyDescent="0.35"/>
    <row r="6938" s="13" customFormat="1" x14ac:dyDescent="0.35"/>
    <row r="6939" s="13" customFormat="1" x14ac:dyDescent="0.35"/>
    <row r="6940" s="13" customFormat="1" x14ac:dyDescent="0.35"/>
    <row r="6941" s="13" customFormat="1" x14ac:dyDescent="0.35"/>
    <row r="6942" s="13" customFormat="1" x14ac:dyDescent="0.35"/>
    <row r="6943" s="13" customFormat="1" x14ac:dyDescent="0.35"/>
    <row r="6944" s="13" customFormat="1" x14ac:dyDescent="0.35"/>
    <row r="6945" s="13" customFormat="1" x14ac:dyDescent="0.35"/>
    <row r="6946" s="13" customFormat="1" x14ac:dyDescent="0.35"/>
    <row r="6947" s="13" customFormat="1" x14ac:dyDescent="0.35"/>
    <row r="6948" s="13" customFormat="1" x14ac:dyDescent="0.35"/>
    <row r="6949" s="13" customFormat="1" x14ac:dyDescent="0.35"/>
    <row r="6950" s="13" customFormat="1" x14ac:dyDescent="0.35"/>
    <row r="6951" s="13" customFormat="1" x14ac:dyDescent="0.35"/>
    <row r="6952" s="13" customFormat="1" x14ac:dyDescent="0.35"/>
    <row r="6953" s="13" customFormat="1" x14ac:dyDescent="0.35"/>
    <row r="6954" s="13" customFormat="1" x14ac:dyDescent="0.35"/>
    <row r="6955" s="13" customFormat="1" x14ac:dyDescent="0.35"/>
    <row r="6956" s="13" customFormat="1" x14ac:dyDescent="0.35"/>
    <row r="6957" s="13" customFormat="1" x14ac:dyDescent="0.35"/>
    <row r="6958" s="13" customFormat="1" x14ac:dyDescent="0.35"/>
    <row r="6959" s="13" customFormat="1" x14ac:dyDescent="0.35"/>
    <row r="6960" s="13" customFormat="1" x14ac:dyDescent="0.35"/>
    <row r="6961" s="13" customFormat="1" x14ac:dyDescent="0.35"/>
    <row r="6962" s="13" customFormat="1" x14ac:dyDescent="0.35"/>
    <row r="6963" s="13" customFormat="1" x14ac:dyDescent="0.35"/>
    <row r="6964" s="13" customFormat="1" x14ac:dyDescent="0.35"/>
    <row r="6965" s="13" customFormat="1" x14ac:dyDescent="0.35"/>
    <row r="6966" s="13" customFormat="1" x14ac:dyDescent="0.35"/>
    <row r="6967" s="13" customFormat="1" x14ac:dyDescent="0.35"/>
    <row r="6968" s="13" customFormat="1" x14ac:dyDescent="0.35"/>
    <row r="6969" s="13" customFormat="1" x14ac:dyDescent="0.35"/>
    <row r="6970" s="13" customFormat="1" x14ac:dyDescent="0.35"/>
    <row r="6971" s="13" customFormat="1" x14ac:dyDescent="0.35"/>
    <row r="6972" s="13" customFormat="1" x14ac:dyDescent="0.35"/>
    <row r="6973" s="13" customFormat="1" x14ac:dyDescent="0.35"/>
    <row r="6974" s="13" customFormat="1" x14ac:dyDescent="0.35"/>
    <row r="6975" s="13" customFormat="1" x14ac:dyDescent="0.35"/>
    <row r="6976" s="13" customFormat="1" x14ac:dyDescent="0.35"/>
    <row r="6977" s="13" customFormat="1" x14ac:dyDescent="0.35"/>
    <row r="6978" s="13" customFormat="1" x14ac:dyDescent="0.35"/>
    <row r="6979" s="13" customFormat="1" x14ac:dyDescent="0.35"/>
    <row r="6980" s="13" customFormat="1" x14ac:dyDescent="0.35"/>
    <row r="6981" s="13" customFormat="1" x14ac:dyDescent="0.35"/>
    <row r="6982" s="13" customFormat="1" x14ac:dyDescent="0.35"/>
    <row r="6983" s="13" customFormat="1" x14ac:dyDescent="0.35"/>
    <row r="6984" s="13" customFormat="1" x14ac:dyDescent="0.35"/>
    <row r="6985" s="13" customFormat="1" x14ac:dyDescent="0.35"/>
    <row r="6986" s="13" customFormat="1" x14ac:dyDescent="0.35"/>
    <row r="6987" s="13" customFormat="1" x14ac:dyDescent="0.35"/>
    <row r="6988" s="13" customFormat="1" x14ac:dyDescent="0.35"/>
    <row r="6989" s="13" customFormat="1" x14ac:dyDescent="0.35"/>
    <row r="6990" s="13" customFormat="1" x14ac:dyDescent="0.35"/>
    <row r="6991" s="13" customFormat="1" x14ac:dyDescent="0.35"/>
    <row r="6992" s="13" customFormat="1" x14ac:dyDescent="0.35"/>
    <row r="6993" s="13" customFormat="1" x14ac:dyDescent="0.35"/>
    <row r="6994" s="13" customFormat="1" x14ac:dyDescent="0.35"/>
    <row r="6995" s="13" customFormat="1" x14ac:dyDescent="0.35"/>
    <row r="6996" s="13" customFormat="1" x14ac:dyDescent="0.35"/>
    <row r="6997" s="13" customFormat="1" x14ac:dyDescent="0.35"/>
    <row r="6998" s="13" customFormat="1" x14ac:dyDescent="0.35"/>
    <row r="6999" s="13" customFormat="1" x14ac:dyDescent="0.35"/>
    <row r="7000" s="13" customFormat="1" x14ac:dyDescent="0.35"/>
    <row r="7001" s="13" customFormat="1" x14ac:dyDescent="0.35"/>
    <row r="7002" s="13" customFormat="1" x14ac:dyDescent="0.35"/>
    <row r="7003" s="13" customFormat="1" x14ac:dyDescent="0.35"/>
    <row r="7004" s="13" customFormat="1" x14ac:dyDescent="0.35"/>
    <row r="7005" s="13" customFormat="1" x14ac:dyDescent="0.35"/>
    <row r="7006" s="13" customFormat="1" x14ac:dyDescent="0.35"/>
    <row r="7007" s="13" customFormat="1" x14ac:dyDescent="0.35"/>
    <row r="7008" s="13" customFormat="1" x14ac:dyDescent="0.35"/>
    <row r="7009" s="13" customFormat="1" x14ac:dyDescent="0.35"/>
    <row r="7010" s="13" customFormat="1" x14ac:dyDescent="0.35"/>
    <row r="7011" s="13" customFormat="1" x14ac:dyDescent="0.35"/>
    <row r="7012" s="13" customFormat="1" x14ac:dyDescent="0.35"/>
    <row r="7013" s="13" customFormat="1" x14ac:dyDescent="0.35"/>
    <row r="7014" s="13" customFormat="1" x14ac:dyDescent="0.35"/>
    <row r="7015" s="13" customFormat="1" x14ac:dyDescent="0.35"/>
    <row r="7016" s="13" customFormat="1" x14ac:dyDescent="0.35"/>
    <row r="7017" s="13" customFormat="1" x14ac:dyDescent="0.35"/>
    <row r="7018" s="13" customFormat="1" x14ac:dyDescent="0.35"/>
    <row r="7019" s="13" customFormat="1" x14ac:dyDescent="0.35"/>
    <row r="7020" s="13" customFormat="1" x14ac:dyDescent="0.35"/>
    <row r="7021" s="13" customFormat="1" x14ac:dyDescent="0.35"/>
    <row r="7022" s="13" customFormat="1" x14ac:dyDescent="0.35"/>
    <row r="7023" s="13" customFormat="1" x14ac:dyDescent="0.35"/>
    <row r="7024" s="13" customFormat="1" x14ac:dyDescent="0.35"/>
    <row r="7025" s="13" customFormat="1" x14ac:dyDescent="0.35"/>
    <row r="7026" s="13" customFormat="1" x14ac:dyDescent="0.35"/>
    <row r="7027" s="13" customFormat="1" x14ac:dyDescent="0.35"/>
    <row r="7028" s="13" customFormat="1" x14ac:dyDescent="0.35"/>
    <row r="7029" s="13" customFormat="1" x14ac:dyDescent="0.35"/>
    <row r="7030" s="13" customFormat="1" x14ac:dyDescent="0.35"/>
    <row r="7031" s="13" customFormat="1" x14ac:dyDescent="0.35"/>
    <row r="7032" s="13" customFormat="1" x14ac:dyDescent="0.35"/>
    <row r="7033" s="13" customFormat="1" x14ac:dyDescent="0.35"/>
    <row r="7034" s="13" customFormat="1" x14ac:dyDescent="0.35"/>
    <row r="7035" s="13" customFormat="1" x14ac:dyDescent="0.35"/>
    <row r="7036" s="13" customFormat="1" x14ac:dyDescent="0.35"/>
    <row r="7037" s="13" customFormat="1" x14ac:dyDescent="0.35"/>
    <row r="7038" s="13" customFormat="1" x14ac:dyDescent="0.35"/>
    <row r="7039" s="13" customFormat="1" x14ac:dyDescent="0.35"/>
    <row r="7040" s="13" customFormat="1" x14ac:dyDescent="0.35"/>
    <row r="7041" s="13" customFormat="1" x14ac:dyDescent="0.35"/>
    <row r="7042" s="13" customFormat="1" x14ac:dyDescent="0.35"/>
    <row r="7043" s="13" customFormat="1" x14ac:dyDescent="0.35"/>
    <row r="7044" s="13" customFormat="1" x14ac:dyDescent="0.35"/>
    <row r="7045" s="13" customFormat="1" x14ac:dyDescent="0.35"/>
    <row r="7046" s="13" customFormat="1" x14ac:dyDescent="0.35"/>
    <row r="7047" s="13" customFormat="1" x14ac:dyDescent="0.35"/>
    <row r="7048" s="13" customFormat="1" x14ac:dyDescent="0.35"/>
    <row r="7049" s="13" customFormat="1" x14ac:dyDescent="0.35"/>
    <row r="7050" s="13" customFormat="1" x14ac:dyDescent="0.35"/>
    <row r="7051" s="13" customFormat="1" x14ac:dyDescent="0.35"/>
    <row r="7052" s="13" customFormat="1" x14ac:dyDescent="0.35"/>
    <row r="7053" s="13" customFormat="1" x14ac:dyDescent="0.35"/>
    <row r="7054" s="13" customFormat="1" x14ac:dyDescent="0.35"/>
    <row r="7055" s="13" customFormat="1" x14ac:dyDescent="0.35"/>
    <row r="7056" s="13" customFormat="1" x14ac:dyDescent="0.35"/>
    <row r="7057" s="13" customFormat="1" x14ac:dyDescent="0.35"/>
    <row r="7058" s="13" customFormat="1" x14ac:dyDescent="0.35"/>
    <row r="7059" s="13" customFormat="1" x14ac:dyDescent="0.35"/>
    <row r="7060" s="13" customFormat="1" x14ac:dyDescent="0.35"/>
    <row r="7061" s="13" customFormat="1" x14ac:dyDescent="0.35"/>
    <row r="7062" s="13" customFormat="1" x14ac:dyDescent="0.35"/>
    <row r="7063" s="13" customFormat="1" x14ac:dyDescent="0.35"/>
    <row r="7064" s="13" customFormat="1" x14ac:dyDescent="0.35"/>
    <row r="7065" s="13" customFormat="1" x14ac:dyDescent="0.35"/>
    <row r="7066" s="13" customFormat="1" x14ac:dyDescent="0.35"/>
    <row r="7067" s="13" customFormat="1" x14ac:dyDescent="0.35"/>
    <row r="7068" s="13" customFormat="1" x14ac:dyDescent="0.35"/>
    <row r="7069" s="13" customFormat="1" x14ac:dyDescent="0.35"/>
    <row r="7070" s="13" customFormat="1" x14ac:dyDescent="0.35"/>
    <row r="7071" s="13" customFormat="1" x14ac:dyDescent="0.35"/>
    <row r="7072" s="13" customFormat="1" x14ac:dyDescent="0.35"/>
    <row r="7073" s="13" customFormat="1" x14ac:dyDescent="0.35"/>
    <row r="7074" s="13" customFormat="1" x14ac:dyDescent="0.35"/>
    <row r="7075" s="13" customFormat="1" x14ac:dyDescent="0.35"/>
    <row r="7076" s="13" customFormat="1" x14ac:dyDescent="0.35"/>
    <row r="7077" s="13" customFormat="1" x14ac:dyDescent="0.35"/>
    <row r="7078" s="13" customFormat="1" x14ac:dyDescent="0.35"/>
    <row r="7079" s="13" customFormat="1" x14ac:dyDescent="0.35"/>
    <row r="7080" s="13" customFormat="1" x14ac:dyDescent="0.35"/>
    <row r="7081" s="13" customFormat="1" x14ac:dyDescent="0.35"/>
    <row r="7082" s="13" customFormat="1" x14ac:dyDescent="0.35"/>
    <row r="7083" s="13" customFormat="1" x14ac:dyDescent="0.35"/>
    <row r="7084" s="13" customFormat="1" x14ac:dyDescent="0.35"/>
    <row r="7085" s="13" customFormat="1" x14ac:dyDescent="0.35"/>
    <row r="7086" s="13" customFormat="1" x14ac:dyDescent="0.35"/>
    <row r="7087" s="13" customFormat="1" x14ac:dyDescent="0.35"/>
    <row r="7088" s="13" customFormat="1" x14ac:dyDescent="0.35"/>
    <row r="7089" s="13" customFormat="1" x14ac:dyDescent="0.35"/>
    <row r="7090" s="13" customFormat="1" x14ac:dyDescent="0.35"/>
    <row r="7091" s="13" customFormat="1" x14ac:dyDescent="0.35"/>
    <row r="7092" s="13" customFormat="1" x14ac:dyDescent="0.35"/>
    <row r="7093" s="13" customFormat="1" x14ac:dyDescent="0.35"/>
    <row r="7094" s="13" customFormat="1" x14ac:dyDescent="0.35"/>
    <row r="7095" s="13" customFormat="1" x14ac:dyDescent="0.35"/>
    <row r="7096" s="13" customFormat="1" x14ac:dyDescent="0.35"/>
    <row r="7097" s="13" customFormat="1" x14ac:dyDescent="0.35"/>
    <row r="7098" s="13" customFormat="1" x14ac:dyDescent="0.35"/>
    <row r="7099" s="13" customFormat="1" x14ac:dyDescent="0.35"/>
    <row r="7100" s="13" customFormat="1" x14ac:dyDescent="0.35"/>
    <row r="7101" s="13" customFormat="1" x14ac:dyDescent="0.35"/>
    <row r="7102" s="13" customFormat="1" x14ac:dyDescent="0.35"/>
    <row r="7103" s="13" customFormat="1" x14ac:dyDescent="0.35"/>
    <row r="7104" s="13" customFormat="1" x14ac:dyDescent="0.35"/>
    <row r="7105" s="13" customFormat="1" x14ac:dyDescent="0.35"/>
    <row r="7106" s="13" customFormat="1" x14ac:dyDescent="0.35"/>
    <row r="7107" s="13" customFormat="1" x14ac:dyDescent="0.35"/>
    <row r="7108" s="13" customFormat="1" x14ac:dyDescent="0.35"/>
    <row r="7109" s="13" customFormat="1" x14ac:dyDescent="0.35"/>
    <row r="7110" s="13" customFormat="1" x14ac:dyDescent="0.35"/>
    <row r="7111" s="13" customFormat="1" x14ac:dyDescent="0.35"/>
    <row r="7112" s="13" customFormat="1" x14ac:dyDescent="0.35"/>
    <row r="7113" s="13" customFormat="1" x14ac:dyDescent="0.35"/>
    <row r="7114" s="13" customFormat="1" x14ac:dyDescent="0.35"/>
    <row r="7115" s="13" customFormat="1" x14ac:dyDescent="0.35"/>
    <row r="7116" s="13" customFormat="1" x14ac:dyDescent="0.35"/>
    <row r="7117" s="13" customFormat="1" x14ac:dyDescent="0.35"/>
    <row r="7118" s="13" customFormat="1" x14ac:dyDescent="0.35"/>
    <row r="7119" s="13" customFormat="1" x14ac:dyDescent="0.35"/>
    <row r="7120" s="13" customFormat="1" x14ac:dyDescent="0.35"/>
    <row r="7121" s="13" customFormat="1" x14ac:dyDescent="0.35"/>
    <row r="7122" s="13" customFormat="1" x14ac:dyDescent="0.35"/>
    <row r="7123" s="13" customFormat="1" x14ac:dyDescent="0.35"/>
    <row r="7124" s="13" customFormat="1" x14ac:dyDescent="0.35"/>
    <row r="7125" s="13" customFormat="1" x14ac:dyDescent="0.35"/>
    <row r="7126" s="13" customFormat="1" x14ac:dyDescent="0.35"/>
    <row r="7127" s="13" customFormat="1" x14ac:dyDescent="0.35"/>
    <row r="7128" s="13" customFormat="1" x14ac:dyDescent="0.35"/>
    <row r="7129" s="13" customFormat="1" x14ac:dyDescent="0.35"/>
    <row r="7130" s="13" customFormat="1" x14ac:dyDescent="0.35"/>
    <row r="7131" s="13" customFormat="1" x14ac:dyDescent="0.35"/>
    <row r="7132" s="13" customFormat="1" x14ac:dyDescent="0.35"/>
    <row r="7133" s="13" customFormat="1" x14ac:dyDescent="0.35"/>
    <row r="7134" s="13" customFormat="1" x14ac:dyDescent="0.35"/>
    <row r="7135" s="13" customFormat="1" x14ac:dyDescent="0.35"/>
    <row r="7136" s="13" customFormat="1" x14ac:dyDescent="0.35"/>
    <row r="7137" s="13" customFormat="1" x14ac:dyDescent="0.35"/>
    <row r="7138" s="13" customFormat="1" x14ac:dyDescent="0.35"/>
    <row r="7139" s="13" customFormat="1" x14ac:dyDescent="0.35"/>
    <row r="7140" s="13" customFormat="1" x14ac:dyDescent="0.35"/>
    <row r="7141" s="13" customFormat="1" x14ac:dyDescent="0.35"/>
    <row r="7142" s="13" customFormat="1" x14ac:dyDescent="0.35"/>
    <row r="7143" s="13" customFormat="1" x14ac:dyDescent="0.35"/>
    <row r="7144" s="13" customFormat="1" x14ac:dyDescent="0.35"/>
    <row r="7145" s="13" customFormat="1" x14ac:dyDescent="0.35"/>
    <row r="7146" s="13" customFormat="1" x14ac:dyDescent="0.35"/>
    <row r="7147" s="13" customFormat="1" x14ac:dyDescent="0.35"/>
    <row r="7148" s="13" customFormat="1" x14ac:dyDescent="0.35"/>
    <row r="7149" s="13" customFormat="1" x14ac:dyDescent="0.35"/>
    <row r="7150" s="13" customFormat="1" x14ac:dyDescent="0.35"/>
    <row r="7151" s="13" customFormat="1" x14ac:dyDescent="0.35"/>
    <row r="7152" s="13" customFormat="1" x14ac:dyDescent="0.35"/>
    <row r="7153" s="13" customFormat="1" x14ac:dyDescent="0.35"/>
    <row r="7154" s="13" customFormat="1" x14ac:dyDescent="0.35"/>
    <row r="7155" s="13" customFormat="1" x14ac:dyDescent="0.35"/>
    <row r="7156" s="13" customFormat="1" x14ac:dyDescent="0.35"/>
    <row r="7157" s="13" customFormat="1" x14ac:dyDescent="0.35"/>
    <row r="7158" s="13" customFormat="1" x14ac:dyDescent="0.35"/>
    <row r="7159" s="13" customFormat="1" x14ac:dyDescent="0.35"/>
    <row r="7160" s="13" customFormat="1" x14ac:dyDescent="0.35"/>
    <row r="7161" s="13" customFormat="1" x14ac:dyDescent="0.35"/>
    <row r="7162" s="13" customFormat="1" x14ac:dyDescent="0.35"/>
    <row r="7163" s="13" customFormat="1" x14ac:dyDescent="0.35"/>
    <row r="7164" s="13" customFormat="1" x14ac:dyDescent="0.35"/>
    <row r="7165" s="13" customFormat="1" x14ac:dyDescent="0.35"/>
    <row r="7166" s="13" customFormat="1" x14ac:dyDescent="0.35"/>
    <row r="7167" s="13" customFormat="1" x14ac:dyDescent="0.35"/>
    <row r="7168" s="13" customFormat="1" x14ac:dyDescent="0.35"/>
    <row r="7169" s="13" customFormat="1" x14ac:dyDescent="0.35"/>
    <row r="7170" s="13" customFormat="1" x14ac:dyDescent="0.35"/>
    <row r="7171" s="13" customFormat="1" x14ac:dyDescent="0.35"/>
    <row r="7172" s="13" customFormat="1" x14ac:dyDescent="0.35"/>
    <row r="7173" s="13" customFormat="1" x14ac:dyDescent="0.35"/>
    <row r="7174" s="13" customFormat="1" x14ac:dyDescent="0.35"/>
    <row r="7175" s="13" customFormat="1" x14ac:dyDescent="0.35"/>
    <row r="7176" s="13" customFormat="1" x14ac:dyDescent="0.35"/>
    <row r="7177" s="13" customFormat="1" x14ac:dyDescent="0.35"/>
    <row r="7178" s="13" customFormat="1" x14ac:dyDescent="0.35"/>
    <row r="7179" s="13" customFormat="1" x14ac:dyDescent="0.35"/>
    <row r="7180" s="13" customFormat="1" x14ac:dyDescent="0.35"/>
    <row r="7181" s="13" customFormat="1" x14ac:dyDescent="0.35"/>
    <row r="7182" s="13" customFormat="1" x14ac:dyDescent="0.35"/>
    <row r="7183" s="13" customFormat="1" x14ac:dyDescent="0.35"/>
    <row r="7184" s="13" customFormat="1" x14ac:dyDescent="0.35"/>
    <row r="7185" s="13" customFormat="1" x14ac:dyDescent="0.35"/>
    <row r="7186" s="13" customFormat="1" x14ac:dyDescent="0.35"/>
    <row r="7187" s="13" customFormat="1" x14ac:dyDescent="0.35"/>
    <row r="7188" s="13" customFormat="1" x14ac:dyDescent="0.35"/>
    <row r="7189" s="13" customFormat="1" x14ac:dyDescent="0.35"/>
    <row r="7190" s="13" customFormat="1" x14ac:dyDescent="0.35"/>
    <row r="7191" s="13" customFormat="1" x14ac:dyDescent="0.35"/>
    <row r="7192" s="13" customFormat="1" x14ac:dyDescent="0.35"/>
    <row r="7193" s="13" customFormat="1" x14ac:dyDescent="0.35"/>
    <row r="7194" s="13" customFormat="1" x14ac:dyDescent="0.35"/>
    <row r="7195" s="13" customFormat="1" x14ac:dyDescent="0.35"/>
    <row r="7196" s="13" customFormat="1" x14ac:dyDescent="0.35"/>
    <row r="7197" s="13" customFormat="1" x14ac:dyDescent="0.35"/>
    <row r="7198" s="13" customFormat="1" x14ac:dyDescent="0.35"/>
    <row r="7199" s="13" customFormat="1" x14ac:dyDescent="0.35"/>
    <row r="7200" s="13" customFormat="1" x14ac:dyDescent="0.35"/>
    <row r="7201" s="13" customFormat="1" x14ac:dyDescent="0.35"/>
    <row r="7202" s="13" customFormat="1" x14ac:dyDescent="0.35"/>
    <row r="7203" s="13" customFormat="1" x14ac:dyDescent="0.35"/>
    <row r="7204" s="13" customFormat="1" x14ac:dyDescent="0.35"/>
    <row r="7205" s="13" customFormat="1" x14ac:dyDescent="0.35"/>
    <row r="7206" s="13" customFormat="1" x14ac:dyDescent="0.35"/>
    <row r="7207" s="13" customFormat="1" x14ac:dyDescent="0.35"/>
    <row r="7208" s="13" customFormat="1" x14ac:dyDescent="0.35"/>
    <row r="7209" s="13" customFormat="1" x14ac:dyDescent="0.35"/>
    <row r="7210" s="13" customFormat="1" x14ac:dyDescent="0.35"/>
    <row r="7211" s="13" customFormat="1" x14ac:dyDescent="0.35"/>
    <row r="7212" s="13" customFormat="1" x14ac:dyDescent="0.35"/>
    <row r="7213" s="13" customFormat="1" x14ac:dyDescent="0.35"/>
    <row r="7214" s="13" customFormat="1" x14ac:dyDescent="0.35"/>
    <row r="7215" s="13" customFormat="1" x14ac:dyDescent="0.35"/>
    <row r="7216" s="13" customFormat="1" x14ac:dyDescent="0.35"/>
    <row r="7217" s="13" customFormat="1" x14ac:dyDescent="0.35"/>
    <row r="7218" s="13" customFormat="1" x14ac:dyDescent="0.35"/>
    <row r="7219" s="13" customFormat="1" x14ac:dyDescent="0.35"/>
    <row r="7220" s="13" customFormat="1" x14ac:dyDescent="0.35"/>
    <row r="7221" s="13" customFormat="1" x14ac:dyDescent="0.35"/>
    <row r="7222" s="13" customFormat="1" x14ac:dyDescent="0.35"/>
    <row r="7223" s="13" customFormat="1" x14ac:dyDescent="0.35"/>
    <row r="7224" s="13" customFormat="1" x14ac:dyDescent="0.35"/>
    <row r="7225" s="13" customFormat="1" x14ac:dyDescent="0.35"/>
    <row r="7226" s="13" customFormat="1" x14ac:dyDescent="0.35"/>
    <row r="7227" s="13" customFormat="1" x14ac:dyDescent="0.35"/>
    <row r="7228" s="13" customFormat="1" x14ac:dyDescent="0.35"/>
    <row r="7229" s="13" customFormat="1" x14ac:dyDescent="0.35"/>
    <row r="7230" s="13" customFormat="1" x14ac:dyDescent="0.35"/>
    <row r="7231" s="13" customFormat="1" x14ac:dyDescent="0.35"/>
    <row r="7232" s="13" customFormat="1" x14ac:dyDescent="0.35"/>
    <row r="7233" s="13" customFormat="1" x14ac:dyDescent="0.35"/>
    <row r="7234" s="13" customFormat="1" x14ac:dyDescent="0.35"/>
    <row r="7235" s="13" customFormat="1" x14ac:dyDescent="0.35"/>
    <row r="7236" s="13" customFormat="1" x14ac:dyDescent="0.35"/>
    <row r="7237" s="13" customFormat="1" x14ac:dyDescent="0.35"/>
    <row r="7238" s="13" customFormat="1" x14ac:dyDescent="0.35"/>
    <row r="7239" s="13" customFormat="1" x14ac:dyDescent="0.35"/>
    <row r="7240" s="13" customFormat="1" x14ac:dyDescent="0.35"/>
    <row r="7241" s="13" customFormat="1" x14ac:dyDescent="0.35"/>
    <row r="7242" s="13" customFormat="1" x14ac:dyDescent="0.35"/>
    <row r="7243" s="13" customFormat="1" x14ac:dyDescent="0.35"/>
    <row r="7244" s="13" customFormat="1" x14ac:dyDescent="0.35"/>
    <row r="7245" s="13" customFormat="1" x14ac:dyDescent="0.35"/>
    <row r="7246" s="13" customFormat="1" x14ac:dyDescent="0.35"/>
    <row r="7247" s="13" customFormat="1" x14ac:dyDescent="0.35"/>
    <row r="7248" s="13" customFormat="1" x14ac:dyDescent="0.35"/>
    <row r="7249" s="13" customFormat="1" x14ac:dyDescent="0.35"/>
    <row r="7250" s="13" customFormat="1" x14ac:dyDescent="0.35"/>
    <row r="7251" s="13" customFormat="1" x14ac:dyDescent="0.35"/>
    <row r="7252" s="13" customFormat="1" x14ac:dyDescent="0.35"/>
    <row r="7253" s="13" customFormat="1" x14ac:dyDescent="0.35"/>
    <row r="7254" s="13" customFormat="1" x14ac:dyDescent="0.35"/>
    <row r="7255" s="13" customFormat="1" x14ac:dyDescent="0.35"/>
    <row r="7256" s="13" customFormat="1" x14ac:dyDescent="0.35"/>
    <row r="7257" s="13" customFormat="1" x14ac:dyDescent="0.35"/>
    <row r="7258" s="13" customFormat="1" x14ac:dyDescent="0.35"/>
    <row r="7259" s="13" customFormat="1" x14ac:dyDescent="0.35"/>
    <row r="7260" s="13" customFormat="1" x14ac:dyDescent="0.35"/>
    <row r="7261" s="13" customFormat="1" x14ac:dyDescent="0.35"/>
    <row r="7262" s="13" customFormat="1" x14ac:dyDescent="0.35"/>
    <row r="7263" s="13" customFormat="1" x14ac:dyDescent="0.35"/>
    <row r="7264" s="13" customFormat="1" x14ac:dyDescent="0.35"/>
    <row r="7265" s="13" customFormat="1" x14ac:dyDescent="0.35"/>
    <row r="7266" s="13" customFormat="1" x14ac:dyDescent="0.35"/>
    <row r="7267" s="13" customFormat="1" x14ac:dyDescent="0.35"/>
    <row r="7268" s="13" customFormat="1" x14ac:dyDescent="0.35"/>
    <row r="7269" s="13" customFormat="1" x14ac:dyDescent="0.35"/>
    <row r="7270" s="13" customFormat="1" x14ac:dyDescent="0.35"/>
    <row r="7271" s="13" customFormat="1" x14ac:dyDescent="0.35"/>
    <row r="7272" s="13" customFormat="1" x14ac:dyDescent="0.35"/>
    <row r="7273" s="13" customFormat="1" x14ac:dyDescent="0.35"/>
    <row r="7274" s="13" customFormat="1" x14ac:dyDescent="0.35"/>
    <row r="7275" s="13" customFormat="1" x14ac:dyDescent="0.35"/>
    <row r="7276" s="13" customFormat="1" x14ac:dyDescent="0.35"/>
    <row r="7277" s="13" customFormat="1" x14ac:dyDescent="0.35"/>
    <row r="7278" s="13" customFormat="1" x14ac:dyDescent="0.35"/>
    <row r="7279" s="13" customFormat="1" x14ac:dyDescent="0.35"/>
    <row r="7280" s="13" customFormat="1" x14ac:dyDescent="0.35"/>
    <row r="7281" s="13" customFormat="1" x14ac:dyDescent="0.35"/>
    <row r="7282" s="13" customFormat="1" x14ac:dyDescent="0.35"/>
    <row r="7283" s="13" customFormat="1" x14ac:dyDescent="0.35"/>
    <row r="7284" s="13" customFormat="1" x14ac:dyDescent="0.35"/>
    <row r="7285" s="13" customFormat="1" x14ac:dyDescent="0.35"/>
    <row r="7286" s="13" customFormat="1" x14ac:dyDescent="0.35"/>
    <row r="7287" s="13" customFormat="1" x14ac:dyDescent="0.35"/>
    <row r="7288" s="13" customFormat="1" x14ac:dyDescent="0.35"/>
    <row r="7289" s="13" customFormat="1" x14ac:dyDescent="0.35"/>
    <row r="7290" s="13" customFormat="1" x14ac:dyDescent="0.35"/>
    <row r="7291" s="13" customFormat="1" x14ac:dyDescent="0.35"/>
    <row r="7292" s="13" customFormat="1" x14ac:dyDescent="0.35"/>
    <row r="7293" s="13" customFormat="1" x14ac:dyDescent="0.35"/>
    <row r="7294" s="13" customFormat="1" x14ac:dyDescent="0.35"/>
    <row r="7295" s="13" customFormat="1" x14ac:dyDescent="0.35"/>
    <row r="7296" s="13" customFormat="1" x14ac:dyDescent="0.35"/>
    <row r="7297" s="13" customFormat="1" x14ac:dyDescent="0.35"/>
    <row r="7298" s="13" customFormat="1" x14ac:dyDescent="0.35"/>
    <row r="7299" s="13" customFormat="1" x14ac:dyDescent="0.35"/>
    <row r="7300" s="13" customFormat="1" x14ac:dyDescent="0.35"/>
    <row r="7301" s="13" customFormat="1" x14ac:dyDescent="0.35"/>
    <row r="7302" s="13" customFormat="1" x14ac:dyDescent="0.35"/>
    <row r="7303" s="13" customFormat="1" x14ac:dyDescent="0.35"/>
    <row r="7304" s="13" customFormat="1" x14ac:dyDescent="0.35"/>
    <row r="7305" s="13" customFormat="1" x14ac:dyDescent="0.35"/>
    <row r="7306" s="13" customFormat="1" x14ac:dyDescent="0.35"/>
    <row r="7307" s="13" customFormat="1" x14ac:dyDescent="0.35"/>
    <row r="7308" s="13" customFormat="1" x14ac:dyDescent="0.35"/>
    <row r="7309" s="13" customFormat="1" x14ac:dyDescent="0.35"/>
    <row r="7310" s="13" customFormat="1" x14ac:dyDescent="0.35"/>
    <row r="7311" s="13" customFormat="1" x14ac:dyDescent="0.35"/>
    <row r="7312" s="13" customFormat="1" x14ac:dyDescent="0.35"/>
    <row r="7313" s="13" customFormat="1" x14ac:dyDescent="0.35"/>
    <row r="7314" s="13" customFormat="1" x14ac:dyDescent="0.35"/>
    <row r="7315" s="13" customFormat="1" x14ac:dyDescent="0.35"/>
    <row r="7316" s="13" customFormat="1" x14ac:dyDescent="0.35"/>
    <row r="7317" s="13" customFormat="1" x14ac:dyDescent="0.35"/>
    <row r="7318" s="13" customFormat="1" x14ac:dyDescent="0.35"/>
    <row r="7319" s="13" customFormat="1" x14ac:dyDescent="0.35"/>
    <row r="7320" s="13" customFormat="1" x14ac:dyDescent="0.35"/>
    <row r="7321" s="13" customFormat="1" x14ac:dyDescent="0.35"/>
    <row r="7322" s="13" customFormat="1" x14ac:dyDescent="0.35"/>
    <row r="7323" s="13" customFormat="1" x14ac:dyDescent="0.35"/>
    <row r="7324" s="13" customFormat="1" x14ac:dyDescent="0.35"/>
    <row r="7325" s="13" customFormat="1" x14ac:dyDescent="0.35"/>
    <row r="7326" s="13" customFormat="1" x14ac:dyDescent="0.35"/>
    <row r="7327" s="13" customFormat="1" x14ac:dyDescent="0.35"/>
    <row r="7328" s="13" customFormat="1" x14ac:dyDescent="0.35"/>
    <row r="7329" s="13" customFormat="1" x14ac:dyDescent="0.35"/>
    <row r="7330" s="13" customFormat="1" x14ac:dyDescent="0.35"/>
    <row r="7331" s="13" customFormat="1" x14ac:dyDescent="0.35"/>
    <row r="7332" s="13" customFormat="1" x14ac:dyDescent="0.35"/>
    <row r="7333" s="13" customFormat="1" x14ac:dyDescent="0.35"/>
    <row r="7334" s="13" customFormat="1" x14ac:dyDescent="0.35"/>
    <row r="7335" s="13" customFormat="1" x14ac:dyDescent="0.35"/>
    <row r="7336" s="13" customFormat="1" x14ac:dyDescent="0.35"/>
    <row r="7337" s="13" customFormat="1" x14ac:dyDescent="0.35"/>
    <row r="7338" s="13" customFormat="1" x14ac:dyDescent="0.35"/>
    <row r="7339" s="13" customFormat="1" x14ac:dyDescent="0.35"/>
    <row r="7340" s="13" customFormat="1" x14ac:dyDescent="0.35"/>
    <row r="7341" s="13" customFormat="1" x14ac:dyDescent="0.35"/>
    <row r="7342" s="13" customFormat="1" x14ac:dyDescent="0.35"/>
    <row r="7343" s="13" customFormat="1" x14ac:dyDescent="0.35"/>
    <row r="7344" s="13" customFormat="1" x14ac:dyDescent="0.35"/>
    <row r="7345" s="13" customFormat="1" x14ac:dyDescent="0.35"/>
    <row r="7346" s="13" customFormat="1" x14ac:dyDescent="0.35"/>
    <row r="7347" s="13" customFormat="1" x14ac:dyDescent="0.35"/>
    <row r="7348" s="13" customFormat="1" x14ac:dyDescent="0.35"/>
    <row r="7349" s="13" customFormat="1" x14ac:dyDescent="0.35"/>
    <row r="7350" s="13" customFormat="1" x14ac:dyDescent="0.35"/>
    <row r="7351" s="13" customFormat="1" x14ac:dyDescent="0.35"/>
    <row r="7352" s="13" customFormat="1" x14ac:dyDescent="0.35"/>
    <row r="7353" s="13" customFormat="1" x14ac:dyDescent="0.35"/>
    <row r="7354" s="13" customFormat="1" x14ac:dyDescent="0.35"/>
    <row r="7355" s="13" customFormat="1" x14ac:dyDescent="0.35"/>
    <row r="7356" s="13" customFormat="1" x14ac:dyDescent="0.35"/>
    <row r="7357" s="13" customFormat="1" x14ac:dyDescent="0.35"/>
    <row r="7358" s="13" customFormat="1" x14ac:dyDescent="0.35"/>
    <row r="7359" s="13" customFormat="1" x14ac:dyDescent="0.35"/>
    <row r="7360" s="13" customFormat="1" x14ac:dyDescent="0.35"/>
    <row r="7361" s="13" customFormat="1" x14ac:dyDescent="0.35"/>
    <row r="7362" s="13" customFormat="1" x14ac:dyDescent="0.35"/>
    <row r="7363" s="13" customFormat="1" x14ac:dyDescent="0.35"/>
    <row r="7364" s="13" customFormat="1" x14ac:dyDescent="0.35"/>
    <row r="7365" s="13" customFormat="1" x14ac:dyDescent="0.35"/>
  </sheetData>
  <protectedRanges>
    <protectedRange sqref="E67:F71 E45:F46 F28:F40 E28:E34 E36:E40" name="Range1_3"/>
  </protectedRange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tabColor theme="3" tint="0.59999389629810485"/>
  </sheetPr>
  <dimension ref="B1:O7356"/>
  <sheetViews>
    <sheetView tabSelected="1" zoomScale="85" zoomScaleNormal="85" zoomScalePageLayoutView="90" workbookViewId="0">
      <pane ySplit="3" topLeftCell="A4" activePane="bottomLeft" state="frozen"/>
      <selection activeCell="B1" sqref="B1"/>
      <selection pane="bottomLeft" activeCell="F13" sqref="F13"/>
    </sheetView>
  </sheetViews>
  <sheetFormatPr defaultColWidth="7" defaultRowHeight="15" x14ac:dyDescent="0.35"/>
  <cols>
    <col min="1" max="1" width="4.1796875" style="13" customWidth="1"/>
    <col min="2" max="2" width="24.1796875" style="22" bestFit="1" customWidth="1"/>
    <col min="3" max="3" width="71.6328125" style="22" customWidth="1"/>
    <col min="4" max="4" width="17.453125" style="22" customWidth="1"/>
    <col min="5" max="5" width="29.36328125" style="22" customWidth="1"/>
    <col min="6" max="6" width="20.81640625" style="22" customWidth="1"/>
    <col min="7" max="7" width="22.6328125" style="13" customWidth="1"/>
    <col min="8" max="12" width="7" style="13"/>
    <col min="13" max="13" width="14.1796875" style="13" bestFit="1" customWidth="1"/>
    <col min="14" max="14" width="3.1796875" style="13" bestFit="1" customWidth="1"/>
    <col min="15" max="15" width="11.08984375" style="13" bestFit="1" customWidth="1"/>
    <col min="16" max="16308" width="7" style="13"/>
    <col min="16309" max="16384" width="10" style="13" customWidth="1"/>
  </cols>
  <sheetData>
    <row r="1" spans="2:15" x14ac:dyDescent="0.35">
      <c r="B1" s="13"/>
      <c r="C1" s="13"/>
      <c r="D1" s="13"/>
      <c r="E1" s="13"/>
      <c r="F1" s="13"/>
    </row>
    <row r="2" spans="2:15" x14ac:dyDescent="0.35">
      <c r="B2" s="14" t="s">
        <v>57</v>
      </c>
      <c r="C2" s="13"/>
      <c r="D2" s="13"/>
      <c r="E2" s="13"/>
      <c r="F2" s="13"/>
    </row>
    <row r="3" spans="2:15" x14ac:dyDescent="0.35">
      <c r="B3" s="15" t="s">
        <v>9</v>
      </c>
      <c r="C3" s="16" t="s">
        <v>130</v>
      </c>
      <c r="D3" s="16" t="s">
        <v>60</v>
      </c>
      <c r="E3" s="16" t="s">
        <v>131</v>
      </c>
      <c r="F3" s="15" t="s">
        <v>81</v>
      </c>
      <c r="G3" s="13" t="s">
        <v>256</v>
      </c>
    </row>
    <row r="4" spans="2:15" x14ac:dyDescent="0.35">
      <c r="B4" s="17" t="s">
        <v>10</v>
      </c>
      <c r="C4" s="18" t="s">
        <v>150</v>
      </c>
      <c r="D4" s="18" t="s">
        <v>62</v>
      </c>
      <c r="E4" s="19">
        <v>11658</v>
      </c>
      <c r="F4" s="19" t="s">
        <v>243</v>
      </c>
      <c r="G4" s="13" t="s">
        <v>257</v>
      </c>
      <c r="H4" s="66">
        <f>(E4-E5)/E5</f>
        <v>1.5849223946784923</v>
      </c>
      <c r="M4" s="68" t="s">
        <v>258</v>
      </c>
      <c r="N4" s="69">
        <v>4</v>
      </c>
      <c r="O4" s="13" t="s">
        <v>264</v>
      </c>
    </row>
    <row r="5" spans="2:15" x14ac:dyDescent="0.35">
      <c r="B5" s="20"/>
      <c r="C5" s="18" t="s">
        <v>151</v>
      </c>
      <c r="D5" s="18" t="s">
        <v>62</v>
      </c>
      <c r="E5" s="19">
        <v>4510</v>
      </c>
      <c r="F5" s="19"/>
      <c r="M5" s="68" t="s">
        <v>259</v>
      </c>
      <c r="N5" s="69">
        <v>3</v>
      </c>
    </row>
    <row r="6" spans="2:15" x14ac:dyDescent="0.35">
      <c r="B6" s="20"/>
      <c r="C6" s="18" t="s">
        <v>148</v>
      </c>
      <c r="D6" s="18" t="s">
        <v>62</v>
      </c>
      <c r="E6" s="19">
        <v>5</v>
      </c>
      <c r="F6" s="19" t="s">
        <v>243</v>
      </c>
      <c r="G6" s="13" t="s">
        <v>257</v>
      </c>
      <c r="H6" s="66">
        <f>(E6-E7)/E7</f>
        <v>0.66666666666666663</v>
      </c>
      <c r="M6" s="68" t="s">
        <v>260</v>
      </c>
      <c r="N6" s="69">
        <v>2</v>
      </c>
    </row>
    <row r="7" spans="2:15" x14ac:dyDescent="0.35">
      <c r="B7" s="20"/>
      <c r="C7" s="18" t="s">
        <v>149</v>
      </c>
      <c r="D7" s="18" t="s">
        <v>62</v>
      </c>
      <c r="E7" s="19">
        <v>3</v>
      </c>
      <c r="F7" s="19"/>
      <c r="M7" s="68" t="s">
        <v>261</v>
      </c>
      <c r="N7" s="69">
        <v>1</v>
      </c>
    </row>
    <row r="8" spans="2:15" ht="30" x14ac:dyDescent="0.35">
      <c r="B8" s="20"/>
      <c r="C8" s="18" t="s">
        <v>121</v>
      </c>
      <c r="D8" s="18" t="s">
        <v>62</v>
      </c>
      <c r="E8" s="19">
        <v>2523</v>
      </c>
      <c r="F8" s="19" t="s">
        <v>243</v>
      </c>
      <c r="G8" s="13" t="s">
        <v>257</v>
      </c>
      <c r="H8" s="66">
        <f>(E8-E9)/E9</f>
        <v>1.2853260869565217</v>
      </c>
      <c r="M8" s="68" t="s">
        <v>262</v>
      </c>
      <c r="N8" s="69">
        <v>0</v>
      </c>
    </row>
    <row r="9" spans="2:15" ht="30" x14ac:dyDescent="0.35">
      <c r="B9" s="20"/>
      <c r="C9" s="18" t="s">
        <v>122</v>
      </c>
      <c r="D9" s="18" t="s">
        <v>62</v>
      </c>
      <c r="E9" s="19">
        <v>1104</v>
      </c>
      <c r="F9" s="19" t="s">
        <v>243</v>
      </c>
      <c r="M9" s="68" t="s">
        <v>263</v>
      </c>
      <c r="N9" s="69" t="s">
        <v>224</v>
      </c>
    </row>
    <row r="10" spans="2:15" ht="30" x14ac:dyDescent="0.35">
      <c r="B10" s="20"/>
      <c r="C10" s="18" t="s">
        <v>272</v>
      </c>
      <c r="D10" s="21" t="s">
        <v>65</v>
      </c>
      <c r="E10" s="19" t="s">
        <v>227</v>
      </c>
      <c r="F10" s="19"/>
    </row>
    <row r="11" spans="2:15" x14ac:dyDescent="0.35">
      <c r="B11" s="20"/>
      <c r="C11" s="21" t="s">
        <v>63</v>
      </c>
      <c r="D11" s="21" t="s">
        <v>65</v>
      </c>
      <c r="E11" s="19" t="s">
        <v>223</v>
      </c>
      <c r="F11" s="19"/>
    </row>
    <row r="12" spans="2:15" ht="30" x14ac:dyDescent="0.35">
      <c r="B12" s="20"/>
      <c r="C12" s="21" t="s">
        <v>96</v>
      </c>
      <c r="D12" s="21" t="s">
        <v>65</v>
      </c>
      <c r="E12" s="19" t="s">
        <v>223</v>
      </c>
      <c r="F12" s="19"/>
    </row>
    <row r="13" spans="2:15" x14ac:dyDescent="0.35">
      <c r="B13" s="20"/>
      <c r="C13" s="21" t="s">
        <v>97</v>
      </c>
      <c r="D13" s="21" t="s">
        <v>65</v>
      </c>
      <c r="E13" s="19" t="s">
        <v>223</v>
      </c>
      <c r="F13" s="19"/>
    </row>
    <row r="14" spans="2:15" x14ac:dyDescent="0.35">
      <c r="B14" s="25"/>
      <c r="C14" s="54"/>
      <c r="D14" s="54"/>
      <c r="E14" s="23"/>
      <c r="F14" s="23"/>
    </row>
    <row r="15" spans="2:15" x14ac:dyDescent="0.35">
      <c r="B15" s="37" t="s">
        <v>123</v>
      </c>
      <c r="C15" s="21" t="s">
        <v>124</v>
      </c>
      <c r="D15" s="21" t="s">
        <v>65</v>
      </c>
      <c r="E15" s="19" t="s">
        <v>223</v>
      </c>
      <c r="F15" s="19"/>
    </row>
    <row r="16" spans="2:15" x14ac:dyDescent="0.35">
      <c r="B16" s="34"/>
      <c r="C16" s="21" t="s">
        <v>125</v>
      </c>
      <c r="D16" s="21" t="s">
        <v>65</v>
      </c>
      <c r="E16" s="19" t="s">
        <v>223</v>
      </c>
      <c r="F16" s="19"/>
    </row>
    <row r="17" spans="2:6" x14ac:dyDescent="0.35">
      <c r="B17" s="34"/>
      <c r="C17" s="21" t="s">
        <v>127</v>
      </c>
      <c r="D17" s="21" t="s">
        <v>65</v>
      </c>
      <c r="E17" s="19" t="s">
        <v>223</v>
      </c>
      <c r="F17" s="19"/>
    </row>
    <row r="18" spans="2:6" x14ac:dyDescent="0.35">
      <c r="B18" s="20"/>
      <c r="C18" s="21" t="s">
        <v>273</v>
      </c>
      <c r="D18" s="21" t="s">
        <v>65</v>
      </c>
      <c r="E18" s="19" t="s">
        <v>224</v>
      </c>
      <c r="F18" s="19"/>
    </row>
    <row r="19" spans="2:6" x14ac:dyDescent="0.35">
      <c r="B19" s="20"/>
      <c r="C19" s="21" t="s">
        <v>276</v>
      </c>
      <c r="D19" s="21" t="s">
        <v>62</v>
      </c>
      <c r="E19" s="19"/>
      <c r="F19" s="19"/>
    </row>
    <row r="20" spans="2:6" x14ac:dyDescent="0.35">
      <c r="B20" s="20"/>
      <c r="C20" s="21" t="s">
        <v>277</v>
      </c>
      <c r="D20" s="21" t="s">
        <v>65</v>
      </c>
      <c r="E20" s="19" t="s">
        <v>224</v>
      </c>
      <c r="F20" s="19"/>
    </row>
    <row r="21" spans="2:6" x14ac:dyDescent="0.35">
      <c r="B21" s="25"/>
      <c r="C21" s="54"/>
      <c r="D21" s="54"/>
      <c r="E21" s="23"/>
      <c r="F21" s="23"/>
    </row>
    <row r="22" spans="2:6" ht="30" x14ac:dyDescent="0.35">
      <c r="B22" s="35" t="s">
        <v>11</v>
      </c>
      <c r="C22" s="21" t="s">
        <v>116</v>
      </c>
      <c r="D22" s="21" t="s">
        <v>65</v>
      </c>
      <c r="E22" s="19" t="s">
        <v>223</v>
      </c>
      <c r="F22" s="19"/>
    </row>
    <row r="23" spans="2:6" ht="30" x14ac:dyDescent="0.35">
      <c r="B23" s="20"/>
      <c r="C23" s="21" t="s">
        <v>100</v>
      </c>
      <c r="D23" s="21" t="s">
        <v>65</v>
      </c>
      <c r="E23" s="19" t="s">
        <v>225</v>
      </c>
      <c r="F23" s="19"/>
    </row>
    <row r="24" spans="2:6" x14ac:dyDescent="0.35">
      <c r="B24" s="20"/>
      <c r="C24" s="21" t="s">
        <v>101</v>
      </c>
      <c r="D24" s="21" t="s">
        <v>62</v>
      </c>
      <c r="E24" s="19" t="s">
        <v>224</v>
      </c>
      <c r="F24" s="19"/>
    </row>
    <row r="25" spans="2:6" x14ac:dyDescent="0.35">
      <c r="B25" s="20"/>
      <c r="C25" s="21" t="s">
        <v>274</v>
      </c>
      <c r="D25" s="21" t="s">
        <v>65</v>
      </c>
      <c r="E25" s="19" t="s">
        <v>224</v>
      </c>
      <c r="F25" s="19"/>
    </row>
    <row r="26" spans="2:6" s="38" customFormat="1" x14ac:dyDescent="0.35">
      <c r="B26" s="37"/>
      <c r="C26" s="21" t="s">
        <v>275</v>
      </c>
      <c r="D26" s="21" t="s">
        <v>65</v>
      </c>
      <c r="E26" s="39" t="s">
        <v>224</v>
      </c>
      <c r="F26" s="39"/>
    </row>
    <row r="27" spans="2:6" x14ac:dyDescent="0.35">
      <c r="B27" s="25"/>
      <c r="C27" s="54"/>
      <c r="D27" s="54"/>
      <c r="E27" s="23"/>
      <c r="F27" s="23"/>
    </row>
    <row r="28" spans="2:6" s="38" customFormat="1" x14ac:dyDescent="0.35">
      <c r="B28" s="35" t="s">
        <v>118</v>
      </c>
      <c r="C28" s="21" t="s">
        <v>129</v>
      </c>
      <c r="D28" s="21" t="s">
        <v>65</v>
      </c>
      <c r="E28" s="39" t="s">
        <v>225</v>
      </c>
      <c r="F28" s="39"/>
    </row>
    <row r="29" spans="2:6" s="38" customFormat="1" x14ac:dyDescent="0.35">
      <c r="B29" s="37"/>
      <c r="C29" s="21" t="s">
        <v>120</v>
      </c>
      <c r="D29" s="21" t="s">
        <v>65</v>
      </c>
      <c r="E29" s="39" t="s">
        <v>223</v>
      </c>
      <c r="F29" s="39"/>
    </row>
    <row r="30" spans="2:6" s="38" customFormat="1" x14ac:dyDescent="0.35">
      <c r="B30" s="37"/>
      <c r="C30" s="21" t="s">
        <v>128</v>
      </c>
      <c r="D30" s="21" t="s">
        <v>65</v>
      </c>
      <c r="E30" s="39" t="s">
        <v>225</v>
      </c>
      <c r="F30" s="39"/>
    </row>
    <row r="31" spans="2:6" x14ac:dyDescent="0.35">
      <c r="B31" s="25"/>
      <c r="C31" s="54"/>
      <c r="D31" s="54"/>
      <c r="E31" s="23"/>
      <c r="F31" s="23"/>
    </row>
    <row r="32" spans="2:6" ht="30" x14ac:dyDescent="0.35">
      <c r="B32" s="35" t="s">
        <v>119</v>
      </c>
      <c r="C32" s="21" t="s">
        <v>103</v>
      </c>
      <c r="D32" s="21" t="s">
        <v>62</v>
      </c>
      <c r="E32" s="19">
        <v>0</v>
      </c>
      <c r="F32" s="19"/>
    </row>
    <row r="33" spans="2:6" ht="60" x14ac:dyDescent="0.35">
      <c r="B33" s="36"/>
      <c r="C33" s="21" t="s">
        <v>104</v>
      </c>
      <c r="D33" s="21" t="s">
        <v>105</v>
      </c>
      <c r="E33" s="19" t="s">
        <v>228</v>
      </c>
      <c r="F33" s="19" t="s">
        <v>229</v>
      </c>
    </row>
    <row r="34" spans="2:6" x14ac:dyDescent="0.35">
      <c r="B34" s="13"/>
      <c r="C34" s="13"/>
      <c r="D34" s="13"/>
      <c r="E34" s="13"/>
      <c r="F34" s="13"/>
    </row>
    <row r="35" spans="2:6" x14ac:dyDescent="0.35">
      <c r="B35" s="13"/>
      <c r="C35" s="13"/>
      <c r="D35" s="13"/>
      <c r="E35" s="13"/>
      <c r="F35" s="13"/>
    </row>
    <row r="36" spans="2:6" x14ac:dyDescent="0.35">
      <c r="B36" s="13"/>
      <c r="C36" s="13"/>
      <c r="D36" s="13"/>
      <c r="E36" s="13"/>
      <c r="F36" s="13"/>
    </row>
    <row r="37" spans="2:6" x14ac:dyDescent="0.35">
      <c r="B37" s="13"/>
      <c r="C37" s="13"/>
      <c r="D37" s="13"/>
      <c r="E37" s="13"/>
      <c r="F37" s="13"/>
    </row>
    <row r="38" spans="2:6" x14ac:dyDescent="0.35">
      <c r="B38" s="13"/>
      <c r="C38" s="13"/>
      <c r="D38" s="13"/>
      <c r="E38" s="13"/>
      <c r="F38" s="13"/>
    </row>
    <row r="39" spans="2:6" x14ac:dyDescent="0.35">
      <c r="B39" s="13"/>
      <c r="C39" s="13"/>
      <c r="D39" s="13"/>
      <c r="E39" s="13"/>
      <c r="F39" s="13"/>
    </row>
    <row r="40" spans="2:6" x14ac:dyDescent="0.35">
      <c r="B40" s="13"/>
      <c r="C40" s="13"/>
      <c r="D40" s="13"/>
      <c r="E40" s="13"/>
      <c r="F40" s="13"/>
    </row>
    <row r="41" spans="2:6" x14ac:dyDescent="0.35">
      <c r="B41" s="13"/>
      <c r="C41" s="13"/>
      <c r="D41" s="13"/>
      <c r="E41" s="13"/>
      <c r="F41" s="13"/>
    </row>
    <row r="42" spans="2:6" x14ac:dyDescent="0.35">
      <c r="B42" s="13"/>
      <c r="C42" s="13"/>
      <c r="D42" s="13"/>
      <c r="E42" s="13"/>
      <c r="F42" s="13"/>
    </row>
    <row r="43" spans="2:6" x14ac:dyDescent="0.35">
      <c r="B43" s="13"/>
      <c r="C43" s="13"/>
      <c r="D43" s="13"/>
      <c r="E43" s="13"/>
      <c r="F43" s="13"/>
    </row>
    <row r="44" spans="2:6" x14ac:dyDescent="0.35">
      <c r="B44" s="13"/>
      <c r="C44" s="13"/>
      <c r="D44" s="13"/>
      <c r="E44" s="13"/>
      <c r="F44" s="13"/>
    </row>
    <row r="45" spans="2:6" x14ac:dyDescent="0.35">
      <c r="B45" s="13"/>
      <c r="C45" s="13"/>
      <c r="D45" s="13"/>
      <c r="E45" s="13"/>
      <c r="F45" s="13"/>
    </row>
    <row r="46" spans="2:6" x14ac:dyDescent="0.35">
      <c r="B46" s="13"/>
      <c r="C46" s="13"/>
      <c r="D46" s="13"/>
      <c r="E46" s="13"/>
      <c r="F46" s="13"/>
    </row>
    <row r="47" spans="2:6" x14ac:dyDescent="0.35">
      <c r="B47" s="13"/>
      <c r="C47" s="13"/>
      <c r="D47" s="13"/>
      <c r="E47" s="13"/>
      <c r="F47" s="13"/>
    </row>
    <row r="48" spans="2:6" x14ac:dyDescent="0.35">
      <c r="B48" s="13"/>
      <c r="C48" s="13"/>
      <c r="D48" s="13"/>
      <c r="E48" s="13"/>
      <c r="F48" s="13"/>
    </row>
    <row r="49" s="13" customFormat="1" x14ac:dyDescent="0.35"/>
    <row r="50" s="13" customFormat="1" x14ac:dyDescent="0.35"/>
    <row r="51" s="13" customFormat="1" x14ac:dyDescent="0.35"/>
    <row r="52" s="13" customFormat="1" x14ac:dyDescent="0.35"/>
    <row r="53" s="13" customFormat="1" x14ac:dyDescent="0.35"/>
    <row r="54" s="13" customFormat="1" x14ac:dyDescent="0.35"/>
    <row r="55" s="13" customFormat="1" x14ac:dyDescent="0.35"/>
    <row r="56" s="13" customFormat="1" x14ac:dyDescent="0.35"/>
    <row r="57" s="13" customFormat="1" x14ac:dyDescent="0.35"/>
    <row r="58" s="13" customFormat="1" x14ac:dyDescent="0.35"/>
    <row r="59" s="13" customFormat="1" x14ac:dyDescent="0.35"/>
    <row r="60" s="13" customFormat="1" x14ac:dyDescent="0.35"/>
    <row r="61" s="13" customFormat="1" x14ac:dyDescent="0.35"/>
    <row r="62" s="13" customFormat="1" x14ac:dyDescent="0.35"/>
    <row r="63" s="13" customFormat="1" x14ac:dyDescent="0.35"/>
    <row r="64" s="13" customFormat="1" x14ac:dyDescent="0.35"/>
    <row r="65" s="13" customFormat="1" x14ac:dyDescent="0.35"/>
    <row r="66" s="13" customFormat="1" x14ac:dyDescent="0.35"/>
    <row r="67" s="13" customFormat="1" x14ac:dyDescent="0.35"/>
    <row r="68" s="13" customFormat="1" x14ac:dyDescent="0.35"/>
    <row r="69" s="13" customFormat="1" x14ac:dyDescent="0.35"/>
    <row r="70" s="13" customFormat="1" x14ac:dyDescent="0.35"/>
    <row r="71" s="13" customFormat="1" x14ac:dyDescent="0.35"/>
    <row r="72" s="13" customFormat="1" x14ac:dyDescent="0.35"/>
    <row r="73" s="13" customFormat="1" x14ac:dyDescent="0.35"/>
    <row r="74" s="13" customFormat="1" x14ac:dyDescent="0.35"/>
    <row r="75" s="13" customFormat="1" x14ac:dyDescent="0.35"/>
    <row r="76" s="13" customFormat="1" x14ac:dyDescent="0.35"/>
    <row r="77" s="13" customFormat="1" x14ac:dyDescent="0.35"/>
    <row r="78" s="13" customFormat="1" x14ac:dyDescent="0.35"/>
    <row r="79" s="13" customFormat="1" x14ac:dyDescent="0.35"/>
    <row r="80" s="13" customFormat="1" x14ac:dyDescent="0.35"/>
    <row r="81" s="13" customFormat="1" x14ac:dyDescent="0.35"/>
    <row r="82" s="13" customFormat="1" x14ac:dyDescent="0.35"/>
    <row r="83" s="13" customFormat="1" x14ac:dyDescent="0.35"/>
    <row r="84" s="13" customFormat="1" x14ac:dyDescent="0.35"/>
    <row r="85" s="13" customFormat="1" x14ac:dyDescent="0.35"/>
    <row r="86" s="13" customFormat="1" x14ac:dyDescent="0.35"/>
    <row r="87" s="13" customFormat="1" x14ac:dyDescent="0.35"/>
    <row r="88" s="13" customFormat="1" x14ac:dyDescent="0.35"/>
    <row r="89" s="13" customFormat="1" x14ac:dyDescent="0.35"/>
    <row r="90" s="13" customFormat="1" x14ac:dyDescent="0.35"/>
    <row r="91" s="13" customFormat="1" x14ac:dyDescent="0.35"/>
    <row r="92" s="13" customFormat="1" x14ac:dyDescent="0.35"/>
    <row r="93" s="13" customFormat="1" x14ac:dyDescent="0.35"/>
    <row r="94" s="13" customFormat="1" x14ac:dyDescent="0.35"/>
    <row r="95" s="13" customFormat="1" x14ac:dyDescent="0.35"/>
    <row r="96" s="13" customFormat="1" x14ac:dyDescent="0.35"/>
    <row r="97" s="13" customFormat="1" x14ac:dyDescent="0.35"/>
    <row r="98" s="13" customFormat="1" x14ac:dyDescent="0.35"/>
    <row r="99" s="13" customFormat="1" x14ac:dyDescent="0.35"/>
    <row r="100" s="13" customFormat="1" x14ac:dyDescent="0.35"/>
    <row r="101" s="13" customFormat="1" x14ac:dyDescent="0.35"/>
    <row r="102" s="13" customFormat="1" x14ac:dyDescent="0.35"/>
    <row r="103" s="13" customFormat="1" x14ac:dyDescent="0.35"/>
    <row r="104" s="13" customFormat="1" x14ac:dyDescent="0.35"/>
    <row r="105" s="13" customFormat="1" x14ac:dyDescent="0.35"/>
    <row r="106" s="13" customFormat="1" x14ac:dyDescent="0.35"/>
    <row r="107" s="13" customFormat="1" x14ac:dyDescent="0.35"/>
    <row r="108" s="13" customFormat="1" x14ac:dyDescent="0.35"/>
    <row r="109" s="13" customFormat="1" x14ac:dyDescent="0.35"/>
    <row r="110" s="13" customFormat="1" x14ac:dyDescent="0.35"/>
    <row r="111" s="13" customFormat="1" x14ac:dyDescent="0.35"/>
    <row r="112" s="13" customFormat="1" x14ac:dyDescent="0.35"/>
    <row r="113" s="13" customFormat="1" x14ac:dyDescent="0.35"/>
    <row r="114" s="13" customFormat="1" x14ac:dyDescent="0.35"/>
    <row r="115" s="13" customFormat="1" x14ac:dyDescent="0.35"/>
    <row r="116" s="13" customFormat="1" x14ac:dyDescent="0.35"/>
    <row r="117" s="13" customFormat="1" x14ac:dyDescent="0.35"/>
    <row r="118" s="13" customFormat="1" x14ac:dyDescent="0.35"/>
    <row r="119" s="13" customFormat="1" x14ac:dyDescent="0.35"/>
    <row r="120" s="13" customFormat="1" x14ac:dyDescent="0.35"/>
    <row r="121" s="13" customFormat="1" x14ac:dyDescent="0.35"/>
    <row r="122" s="13" customFormat="1" x14ac:dyDescent="0.35"/>
    <row r="123" s="13" customFormat="1" x14ac:dyDescent="0.35"/>
    <row r="124" s="13" customFormat="1" x14ac:dyDescent="0.35"/>
    <row r="125" s="13" customFormat="1" x14ac:dyDescent="0.35"/>
    <row r="126" s="13" customFormat="1" x14ac:dyDescent="0.35"/>
    <row r="127" s="13" customFormat="1" x14ac:dyDescent="0.35"/>
    <row r="128" s="13" customFormat="1" x14ac:dyDescent="0.35"/>
    <row r="129" s="13" customFormat="1" x14ac:dyDescent="0.35"/>
    <row r="130" s="13" customFormat="1" x14ac:dyDescent="0.35"/>
    <row r="131" s="13" customFormat="1" x14ac:dyDescent="0.35"/>
    <row r="132" s="13" customFormat="1" x14ac:dyDescent="0.35"/>
    <row r="133" s="13" customFormat="1" x14ac:dyDescent="0.35"/>
    <row r="134" s="13" customFormat="1" x14ac:dyDescent="0.35"/>
    <row r="135" s="13" customFormat="1" x14ac:dyDescent="0.35"/>
    <row r="136" s="13" customFormat="1" x14ac:dyDescent="0.35"/>
    <row r="137" s="13" customFormat="1" x14ac:dyDescent="0.35"/>
    <row r="138" s="13" customFormat="1" x14ac:dyDescent="0.35"/>
    <row r="139" s="13" customFormat="1" x14ac:dyDescent="0.35"/>
    <row r="140" s="13" customFormat="1" x14ac:dyDescent="0.35"/>
    <row r="141" s="13" customFormat="1" x14ac:dyDescent="0.35"/>
    <row r="142" s="13" customFormat="1" x14ac:dyDescent="0.35"/>
    <row r="143" s="13" customFormat="1" x14ac:dyDescent="0.35"/>
    <row r="144" s="13" customFormat="1" x14ac:dyDescent="0.35"/>
    <row r="145" s="13" customFormat="1" x14ac:dyDescent="0.35"/>
    <row r="146" s="13" customFormat="1" x14ac:dyDescent="0.35"/>
    <row r="147" s="13" customFormat="1" x14ac:dyDescent="0.35"/>
    <row r="148" s="13" customFormat="1" x14ac:dyDescent="0.35"/>
    <row r="149" s="13" customFormat="1" x14ac:dyDescent="0.35"/>
    <row r="150" s="13" customFormat="1" x14ac:dyDescent="0.35"/>
    <row r="151" s="13" customFormat="1" x14ac:dyDescent="0.35"/>
    <row r="152" s="13" customFormat="1" x14ac:dyDescent="0.35"/>
    <row r="153" s="13" customFormat="1" x14ac:dyDescent="0.35"/>
    <row r="154" s="13" customFormat="1" x14ac:dyDescent="0.35"/>
    <row r="155" s="13" customFormat="1" x14ac:dyDescent="0.35"/>
    <row r="156" s="13" customFormat="1" x14ac:dyDescent="0.35"/>
    <row r="157" s="13" customFormat="1" x14ac:dyDescent="0.35"/>
    <row r="158" s="13" customFormat="1" x14ac:dyDescent="0.35"/>
    <row r="159" s="13" customFormat="1" x14ac:dyDescent="0.35"/>
    <row r="160" s="13" customFormat="1" x14ac:dyDescent="0.35"/>
    <row r="161" s="13" customFormat="1" x14ac:dyDescent="0.35"/>
    <row r="162" s="13" customFormat="1" x14ac:dyDescent="0.35"/>
    <row r="163" s="13" customFormat="1" x14ac:dyDescent="0.35"/>
    <row r="164" s="13" customFormat="1" x14ac:dyDescent="0.35"/>
    <row r="165" s="13" customFormat="1" x14ac:dyDescent="0.35"/>
    <row r="166" s="13" customFormat="1" x14ac:dyDescent="0.35"/>
    <row r="167" s="13" customFormat="1" x14ac:dyDescent="0.35"/>
    <row r="168" s="13" customFormat="1" x14ac:dyDescent="0.35"/>
    <row r="169" s="13" customFormat="1" x14ac:dyDescent="0.35"/>
    <row r="170" s="13" customFormat="1" x14ac:dyDescent="0.35"/>
    <row r="171" s="13" customFormat="1" x14ac:dyDescent="0.35"/>
    <row r="172" s="13" customFormat="1" x14ac:dyDescent="0.35"/>
    <row r="173" s="13" customFormat="1" x14ac:dyDescent="0.35"/>
    <row r="174" s="13" customFormat="1" x14ac:dyDescent="0.35"/>
    <row r="175" s="13" customFormat="1" x14ac:dyDescent="0.35"/>
    <row r="176" s="13" customFormat="1" x14ac:dyDescent="0.35"/>
    <row r="177" s="13" customFormat="1" x14ac:dyDescent="0.35"/>
    <row r="178" s="13" customFormat="1" x14ac:dyDescent="0.35"/>
    <row r="179" s="13" customFormat="1" x14ac:dyDescent="0.35"/>
    <row r="180" s="13" customFormat="1" x14ac:dyDescent="0.35"/>
    <row r="181" s="13" customFormat="1" x14ac:dyDescent="0.35"/>
    <row r="182" s="13" customFormat="1" x14ac:dyDescent="0.35"/>
    <row r="183" s="13" customFormat="1" x14ac:dyDescent="0.35"/>
    <row r="184" s="13" customFormat="1" x14ac:dyDescent="0.35"/>
    <row r="185" s="13" customFormat="1" x14ac:dyDescent="0.35"/>
    <row r="186" s="13" customFormat="1" x14ac:dyDescent="0.35"/>
    <row r="187" s="13" customFormat="1" x14ac:dyDescent="0.35"/>
    <row r="188" s="13" customFormat="1" x14ac:dyDescent="0.35"/>
    <row r="189" s="13" customFormat="1" x14ac:dyDescent="0.35"/>
    <row r="190" s="13" customFormat="1" x14ac:dyDescent="0.35"/>
    <row r="191" s="13" customFormat="1" x14ac:dyDescent="0.35"/>
    <row r="192" s="13" customFormat="1" x14ac:dyDescent="0.35"/>
    <row r="193" s="13" customFormat="1" x14ac:dyDescent="0.35"/>
    <row r="194" s="13" customFormat="1" x14ac:dyDescent="0.35"/>
    <row r="195" s="13" customFormat="1" x14ac:dyDescent="0.35"/>
    <row r="196" s="13" customFormat="1" x14ac:dyDescent="0.35"/>
    <row r="197" s="13" customFormat="1" x14ac:dyDescent="0.35"/>
    <row r="198" s="13" customFormat="1" x14ac:dyDescent="0.35"/>
    <row r="199" s="13" customFormat="1" x14ac:dyDescent="0.35"/>
    <row r="200" s="13" customFormat="1" x14ac:dyDescent="0.35"/>
    <row r="201" s="13" customFormat="1" x14ac:dyDescent="0.35"/>
    <row r="202" s="13" customFormat="1" x14ac:dyDescent="0.35"/>
    <row r="203" s="13" customFormat="1" x14ac:dyDescent="0.35"/>
    <row r="204" s="13" customFormat="1" x14ac:dyDescent="0.35"/>
    <row r="205" s="13" customFormat="1" x14ac:dyDescent="0.35"/>
    <row r="206" s="13" customFormat="1" x14ac:dyDescent="0.35"/>
    <row r="207" s="13" customFormat="1" x14ac:dyDescent="0.35"/>
    <row r="208" s="13" customFormat="1" x14ac:dyDescent="0.35"/>
    <row r="209" s="13" customFormat="1" x14ac:dyDescent="0.35"/>
    <row r="210" s="13" customFormat="1" x14ac:dyDescent="0.35"/>
    <row r="211" s="13" customFormat="1" x14ac:dyDescent="0.35"/>
    <row r="212" s="13" customFormat="1" x14ac:dyDescent="0.35"/>
    <row r="213" s="13" customFormat="1" x14ac:dyDescent="0.35"/>
    <row r="214" s="13" customFormat="1" x14ac:dyDescent="0.35"/>
    <row r="215" s="13" customFormat="1" x14ac:dyDescent="0.35"/>
    <row r="216" s="13" customFormat="1" x14ac:dyDescent="0.35"/>
    <row r="217" s="13" customFormat="1" x14ac:dyDescent="0.35"/>
    <row r="218" s="13" customFormat="1" x14ac:dyDescent="0.35"/>
    <row r="219" s="13" customFormat="1" x14ac:dyDescent="0.35"/>
    <row r="220" s="13" customFormat="1" x14ac:dyDescent="0.35"/>
    <row r="221" s="13" customFormat="1" x14ac:dyDescent="0.35"/>
    <row r="222" s="13" customFormat="1" x14ac:dyDescent="0.35"/>
    <row r="223" s="13" customFormat="1" x14ac:dyDescent="0.35"/>
    <row r="224" s="13" customFormat="1" x14ac:dyDescent="0.35"/>
    <row r="225" s="13" customFormat="1" x14ac:dyDescent="0.35"/>
    <row r="226" s="13" customFormat="1" x14ac:dyDescent="0.35"/>
    <row r="227" s="13" customFormat="1" x14ac:dyDescent="0.35"/>
    <row r="228" s="13" customFormat="1" x14ac:dyDescent="0.35"/>
    <row r="229" s="13" customFormat="1" x14ac:dyDescent="0.35"/>
    <row r="230" s="13" customFormat="1" x14ac:dyDescent="0.35"/>
    <row r="231" s="13" customFormat="1" x14ac:dyDescent="0.35"/>
    <row r="232" s="13" customFormat="1" x14ac:dyDescent="0.35"/>
    <row r="233" s="13" customFormat="1" x14ac:dyDescent="0.35"/>
    <row r="234" s="13" customFormat="1" x14ac:dyDescent="0.35"/>
    <row r="235" s="13" customFormat="1" x14ac:dyDescent="0.35"/>
    <row r="236" s="13" customFormat="1" x14ac:dyDescent="0.35"/>
    <row r="237" s="13" customFormat="1" x14ac:dyDescent="0.35"/>
    <row r="238" s="13" customFormat="1" x14ac:dyDescent="0.35"/>
    <row r="239" s="13" customFormat="1" x14ac:dyDescent="0.35"/>
    <row r="240" s="13" customFormat="1" x14ac:dyDescent="0.35"/>
    <row r="241" s="13" customFormat="1" x14ac:dyDescent="0.35"/>
    <row r="242" s="13" customFormat="1" x14ac:dyDescent="0.35"/>
    <row r="243" s="13" customFormat="1" x14ac:dyDescent="0.35"/>
    <row r="244" s="13" customFormat="1" x14ac:dyDescent="0.35"/>
    <row r="245" s="13" customFormat="1" x14ac:dyDescent="0.35"/>
    <row r="246" s="13" customFormat="1" x14ac:dyDescent="0.35"/>
    <row r="247" s="13" customFormat="1" x14ac:dyDescent="0.35"/>
    <row r="248" s="13" customFormat="1" x14ac:dyDescent="0.35"/>
    <row r="249" s="13" customFormat="1" x14ac:dyDescent="0.35"/>
    <row r="250" s="13" customFormat="1" x14ac:dyDescent="0.35"/>
    <row r="251" s="13" customFormat="1" x14ac:dyDescent="0.35"/>
    <row r="252" s="13" customFormat="1" x14ac:dyDescent="0.35"/>
    <row r="253" s="13" customFormat="1" x14ac:dyDescent="0.35"/>
    <row r="254" s="13" customFormat="1" x14ac:dyDescent="0.35"/>
    <row r="255" s="13" customFormat="1" x14ac:dyDescent="0.35"/>
    <row r="256" s="13" customFormat="1" x14ac:dyDescent="0.35"/>
    <row r="257" s="13" customFormat="1" x14ac:dyDescent="0.35"/>
    <row r="258" s="13" customFormat="1" x14ac:dyDescent="0.35"/>
    <row r="259" s="13" customFormat="1" x14ac:dyDescent="0.35"/>
    <row r="260" s="13" customFormat="1" x14ac:dyDescent="0.35"/>
    <row r="261" s="13" customFormat="1" x14ac:dyDescent="0.35"/>
    <row r="262" s="13" customFormat="1" x14ac:dyDescent="0.35"/>
    <row r="263" s="13" customFormat="1" x14ac:dyDescent="0.35"/>
    <row r="264" s="13" customFormat="1" x14ac:dyDescent="0.35"/>
    <row r="265" s="13" customFormat="1" x14ac:dyDescent="0.35"/>
    <row r="266" s="13" customFormat="1" x14ac:dyDescent="0.35"/>
    <row r="267" s="13" customFormat="1" x14ac:dyDescent="0.35"/>
    <row r="268" s="13" customFormat="1" x14ac:dyDescent="0.35"/>
    <row r="269" s="13" customFormat="1" x14ac:dyDescent="0.35"/>
    <row r="270" s="13" customFormat="1" x14ac:dyDescent="0.35"/>
    <row r="271" s="13" customFormat="1" x14ac:dyDescent="0.35"/>
    <row r="272" s="13" customFormat="1" x14ac:dyDescent="0.35"/>
    <row r="273" s="13" customFormat="1" x14ac:dyDescent="0.35"/>
    <row r="274" s="13" customFormat="1" x14ac:dyDescent="0.35"/>
    <row r="275" s="13" customFormat="1" x14ac:dyDescent="0.35"/>
    <row r="276" s="13" customFormat="1" x14ac:dyDescent="0.35"/>
    <row r="277" s="13" customFormat="1" x14ac:dyDescent="0.35"/>
    <row r="278" s="13" customFormat="1" x14ac:dyDescent="0.35"/>
    <row r="279" s="13" customFormat="1" x14ac:dyDescent="0.35"/>
    <row r="280" s="13" customFormat="1" x14ac:dyDescent="0.35"/>
    <row r="281" s="13" customFormat="1" x14ac:dyDescent="0.35"/>
    <row r="282" s="13" customFormat="1" x14ac:dyDescent="0.35"/>
    <row r="283" s="13" customFormat="1" x14ac:dyDescent="0.35"/>
    <row r="284" s="13" customFormat="1" x14ac:dyDescent="0.35"/>
    <row r="285" s="13" customFormat="1" x14ac:dyDescent="0.35"/>
    <row r="286" s="13" customFormat="1" x14ac:dyDescent="0.35"/>
    <row r="287" s="13" customFormat="1" x14ac:dyDescent="0.35"/>
    <row r="288" s="13" customFormat="1" x14ac:dyDescent="0.35"/>
    <row r="289" s="13" customFormat="1" x14ac:dyDescent="0.35"/>
    <row r="290" s="13" customFormat="1" x14ac:dyDescent="0.35"/>
    <row r="291" s="13" customFormat="1" x14ac:dyDescent="0.35"/>
    <row r="292" s="13" customFormat="1" x14ac:dyDescent="0.35"/>
    <row r="293" s="13" customFormat="1" x14ac:dyDescent="0.35"/>
    <row r="294" s="13" customFormat="1" x14ac:dyDescent="0.35"/>
    <row r="295" s="13" customFormat="1" x14ac:dyDescent="0.35"/>
    <row r="296" s="13" customFormat="1" x14ac:dyDescent="0.35"/>
    <row r="297" s="13" customFormat="1" x14ac:dyDescent="0.35"/>
    <row r="298" s="13" customFormat="1" x14ac:dyDescent="0.35"/>
    <row r="299" s="13" customFormat="1" x14ac:dyDescent="0.35"/>
    <row r="300" s="13" customFormat="1" x14ac:dyDescent="0.35"/>
    <row r="301" s="13" customFormat="1" x14ac:dyDescent="0.35"/>
    <row r="302" s="13" customFormat="1" x14ac:dyDescent="0.35"/>
    <row r="303" s="13" customFormat="1" x14ac:dyDescent="0.35"/>
    <row r="304" s="13" customFormat="1" x14ac:dyDescent="0.35"/>
    <row r="305" s="13" customFormat="1" x14ac:dyDescent="0.35"/>
    <row r="306" s="13" customFormat="1" x14ac:dyDescent="0.35"/>
    <row r="307" s="13" customFormat="1" x14ac:dyDescent="0.35"/>
    <row r="308" s="13" customFormat="1" x14ac:dyDescent="0.35"/>
    <row r="309" s="13" customFormat="1" x14ac:dyDescent="0.35"/>
    <row r="310" s="13" customFormat="1" x14ac:dyDescent="0.35"/>
    <row r="311" s="13" customFormat="1" x14ac:dyDescent="0.35"/>
    <row r="312" s="13" customFormat="1" x14ac:dyDescent="0.35"/>
    <row r="313" s="13" customFormat="1" x14ac:dyDescent="0.35"/>
    <row r="314" s="13" customFormat="1" x14ac:dyDescent="0.35"/>
    <row r="315" s="13" customFormat="1" x14ac:dyDescent="0.35"/>
    <row r="316" s="13" customFormat="1" x14ac:dyDescent="0.35"/>
    <row r="317" s="13" customFormat="1" x14ac:dyDescent="0.35"/>
    <row r="318" s="13" customFormat="1" x14ac:dyDescent="0.35"/>
    <row r="319" s="13" customFormat="1" x14ac:dyDescent="0.35"/>
    <row r="320" s="13" customFormat="1" x14ac:dyDescent="0.35"/>
    <row r="321" s="13" customFormat="1" x14ac:dyDescent="0.35"/>
    <row r="322" s="13" customFormat="1" x14ac:dyDescent="0.35"/>
    <row r="323" s="13" customFormat="1" x14ac:dyDescent="0.35"/>
    <row r="324" s="13" customFormat="1" x14ac:dyDescent="0.35"/>
    <row r="325" s="13" customFormat="1" x14ac:dyDescent="0.35"/>
    <row r="326" s="13" customFormat="1" x14ac:dyDescent="0.35"/>
    <row r="327" s="13" customFormat="1" x14ac:dyDescent="0.35"/>
    <row r="328" s="13" customFormat="1" x14ac:dyDescent="0.35"/>
    <row r="329" s="13" customFormat="1" x14ac:dyDescent="0.35"/>
    <row r="330" s="13" customFormat="1" x14ac:dyDescent="0.35"/>
    <row r="331" s="13" customFormat="1" x14ac:dyDescent="0.35"/>
    <row r="332" s="13" customFormat="1" x14ac:dyDescent="0.35"/>
    <row r="333" s="13" customFormat="1" x14ac:dyDescent="0.35"/>
    <row r="334" s="13" customFormat="1" x14ac:dyDescent="0.35"/>
    <row r="335" s="13" customFormat="1" x14ac:dyDescent="0.35"/>
    <row r="336" s="13" customFormat="1" x14ac:dyDescent="0.35"/>
    <row r="337" s="13" customFormat="1" x14ac:dyDescent="0.35"/>
    <row r="338" s="13" customFormat="1" x14ac:dyDescent="0.35"/>
    <row r="339" s="13" customFormat="1" x14ac:dyDescent="0.35"/>
    <row r="340" s="13" customFormat="1" x14ac:dyDescent="0.35"/>
    <row r="341" s="13" customFormat="1" x14ac:dyDescent="0.35"/>
    <row r="342" s="13" customFormat="1" x14ac:dyDescent="0.35"/>
    <row r="343" s="13" customFormat="1" x14ac:dyDescent="0.35"/>
    <row r="344" s="13" customFormat="1" x14ac:dyDescent="0.35"/>
    <row r="345" s="13" customFormat="1" x14ac:dyDescent="0.35"/>
    <row r="346" s="13" customFormat="1" x14ac:dyDescent="0.35"/>
    <row r="347" s="13" customFormat="1" x14ac:dyDescent="0.35"/>
    <row r="348" s="13" customFormat="1" x14ac:dyDescent="0.35"/>
    <row r="349" s="13" customFormat="1" x14ac:dyDescent="0.35"/>
    <row r="350" s="13" customFormat="1" x14ac:dyDescent="0.35"/>
    <row r="351" s="13" customFormat="1" x14ac:dyDescent="0.35"/>
    <row r="352" s="13" customFormat="1" x14ac:dyDescent="0.35"/>
    <row r="353" s="13" customFormat="1" x14ac:dyDescent="0.35"/>
    <row r="354" s="13" customFormat="1" x14ac:dyDescent="0.35"/>
    <row r="355" s="13" customFormat="1" x14ac:dyDescent="0.35"/>
    <row r="356" s="13" customFormat="1" x14ac:dyDescent="0.35"/>
    <row r="357" s="13" customFormat="1" x14ac:dyDescent="0.35"/>
    <row r="358" s="13" customFormat="1" x14ac:dyDescent="0.35"/>
    <row r="359" s="13" customFormat="1" x14ac:dyDescent="0.35"/>
    <row r="360" s="13" customFormat="1" x14ac:dyDescent="0.35"/>
    <row r="361" s="13" customFormat="1" x14ac:dyDescent="0.35"/>
    <row r="362" s="13" customFormat="1" x14ac:dyDescent="0.35"/>
    <row r="363" s="13" customFormat="1" x14ac:dyDescent="0.35"/>
    <row r="364" s="13" customFormat="1" x14ac:dyDescent="0.35"/>
    <row r="365" s="13" customFormat="1" x14ac:dyDescent="0.35"/>
    <row r="366" s="13" customFormat="1" x14ac:dyDescent="0.35"/>
    <row r="367" s="13" customFormat="1" x14ac:dyDescent="0.35"/>
    <row r="368" s="13" customFormat="1" x14ac:dyDescent="0.35"/>
    <row r="369" s="13" customFormat="1" x14ac:dyDescent="0.35"/>
    <row r="370" s="13" customFormat="1" x14ac:dyDescent="0.35"/>
    <row r="371" s="13" customFormat="1" x14ac:dyDescent="0.35"/>
    <row r="372" s="13" customFormat="1" x14ac:dyDescent="0.35"/>
    <row r="373" s="13" customFormat="1" x14ac:dyDescent="0.35"/>
    <row r="374" s="13" customFormat="1" x14ac:dyDescent="0.35"/>
    <row r="375" s="13" customFormat="1" x14ac:dyDescent="0.35"/>
    <row r="376" s="13" customFormat="1" x14ac:dyDescent="0.35"/>
    <row r="377" s="13" customFormat="1" x14ac:dyDescent="0.35"/>
    <row r="378" s="13" customFormat="1" x14ac:dyDescent="0.35"/>
    <row r="379" s="13" customFormat="1" x14ac:dyDescent="0.35"/>
    <row r="380" s="13" customFormat="1" x14ac:dyDescent="0.35"/>
    <row r="381" s="13" customFormat="1" x14ac:dyDescent="0.35"/>
    <row r="382" s="13" customFormat="1" x14ac:dyDescent="0.35"/>
    <row r="383" s="13" customFormat="1" x14ac:dyDescent="0.35"/>
    <row r="384" s="13" customFormat="1" x14ac:dyDescent="0.35"/>
    <row r="385" s="13" customFormat="1" x14ac:dyDescent="0.35"/>
    <row r="386" s="13" customFormat="1" x14ac:dyDescent="0.35"/>
    <row r="387" s="13" customFormat="1" x14ac:dyDescent="0.35"/>
    <row r="388" s="13" customFormat="1" x14ac:dyDescent="0.35"/>
    <row r="389" s="13" customFormat="1" x14ac:dyDescent="0.35"/>
    <row r="390" s="13" customFormat="1" x14ac:dyDescent="0.35"/>
    <row r="391" s="13" customFormat="1" x14ac:dyDescent="0.35"/>
    <row r="392" s="13" customFormat="1" x14ac:dyDescent="0.35"/>
    <row r="393" s="13" customFormat="1" x14ac:dyDescent="0.35"/>
    <row r="394" s="13" customFormat="1" x14ac:dyDescent="0.35"/>
    <row r="395" s="13" customFormat="1" x14ac:dyDescent="0.35"/>
    <row r="396" s="13" customFormat="1" x14ac:dyDescent="0.35"/>
    <row r="397" s="13" customFormat="1" x14ac:dyDescent="0.35"/>
    <row r="398" s="13" customFormat="1" x14ac:dyDescent="0.35"/>
    <row r="399" s="13" customFormat="1" x14ac:dyDescent="0.35"/>
    <row r="400" s="13" customFormat="1" x14ac:dyDescent="0.35"/>
    <row r="401" s="13" customFormat="1" x14ac:dyDescent="0.35"/>
    <row r="402" s="13" customFormat="1" x14ac:dyDescent="0.35"/>
    <row r="403" s="13" customFormat="1" x14ac:dyDescent="0.35"/>
    <row r="404" s="13" customFormat="1" x14ac:dyDescent="0.35"/>
    <row r="405" s="13" customFormat="1" x14ac:dyDescent="0.35"/>
    <row r="406" s="13" customFormat="1" x14ac:dyDescent="0.35"/>
    <row r="407" s="13" customFormat="1" x14ac:dyDescent="0.35"/>
    <row r="408" s="13" customFormat="1" x14ac:dyDescent="0.35"/>
    <row r="409" s="13" customFormat="1" x14ac:dyDescent="0.35"/>
    <row r="410" s="13" customFormat="1" x14ac:dyDescent="0.35"/>
    <row r="411" s="13" customFormat="1" x14ac:dyDescent="0.35"/>
    <row r="412" s="13" customFormat="1" x14ac:dyDescent="0.35"/>
    <row r="413" s="13" customFormat="1" x14ac:dyDescent="0.35"/>
    <row r="414" s="13" customFormat="1" x14ac:dyDescent="0.35"/>
    <row r="415" s="13" customFormat="1" x14ac:dyDescent="0.35"/>
    <row r="416" s="13" customFormat="1" x14ac:dyDescent="0.35"/>
    <row r="417" s="13" customFormat="1" x14ac:dyDescent="0.35"/>
    <row r="418" s="13" customFormat="1" x14ac:dyDescent="0.35"/>
    <row r="419" s="13" customFormat="1" x14ac:dyDescent="0.35"/>
    <row r="420" s="13" customFormat="1" x14ac:dyDescent="0.35"/>
    <row r="421" s="13" customFormat="1" x14ac:dyDescent="0.35"/>
    <row r="422" s="13" customFormat="1" x14ac:dyDescent="0.35"/>
    <row r="423" s="13" customFormat="1" x14ac:dyDescent="0.35"/>
    <row r="424" s="13" customFormat="1" x14ac:dyDescent="0.35"/>
    <row r="425" s="13" customFormat="1" x14ac:dyDescent="0.35"/>
    <row r="426" s="13" customFormat="1" x14ac:dyDescent="0.35"/>
    <row r="427" s="13" customFormat="1" x14ac:dyDescent="0.35"/>
    <row r="428" s="13" customFormat="1" x14ac:dyDescent="0.35"/>
    <row r="429" s="13" customFormat="1" x14ac:dyDescent="0.35"/>
    <row r="430" s="13" customFormat="1" x14ac:dyDescent="0.35"/>
    <row r="431" s="13" customFormat="1" x14ac:dyDescent="0.35"/>
    <row r="432" s="13" customFormat="1" x14ac:dyDescent="0.35"/>
    <row r="433" s="13" customFormat="1" x14ac:dyDescent="0.35"/>
    <row r="434" s="13" customFormat="1" x14ac:dyDescent="0.35"/>
    <row r="435" s="13" customFormat="1" x14ac:dyDescent="0.35"/>
    <row r="436" s="13" customFormat="1" x14ac:dyDescent="0.35"/>
    <row r="437" s="13" customFormat="1" x14ac:dyDescent="0.35"/>
    <row r="438" s="13" customFormat="1" x14ac:dyDescent="0.35"/>
    <row r="439" s="13" customFormat="1" x14ac:dyDescent="0.35"/>
    <row r="440" s="13" customFormat="1" x14ac:dyDescent="0.35"/>
    <row r="441" s="13" customFormat="1" x14ac:dyDescent="0.35"/>
    <row r="442" s="13" customFormat="1" x14ac:dyDescent="0.35"/>
    <row r="443" s="13" customFormat="1" x14ac:dyDescent="0.35"/>
    <row r="444" s="13" customFormat="1" x14ac:dyDescent="0.35"/>
    <row r="445" s="13" customFormat="1" x14ac:dyDescent="0.35"/>
    <row r="446" s="13" customFormat="1" x14ac:dyDescent="0.35"/>
    <row r="447" s="13" customFormat="1" x14ac:dyDescent="0.35"/>
    <row r="448" s="13" customFormat="1" x14ac:dyDescent="0.35"/>
    <row r="449" s="13" customFormat="1" x14ac:dyDescent="0.35"/>
    <row r="450" s="13" customFormat="1" x14ac:dyDescent="0.35"/>
    <row r="451" s="13" customFormat="1" x14ac:dyDescent="0.35"/>
    <row r="452" s="13" customFormat="1" x14ac:dyDescent="0.35"/>
    <row r="453" s="13" customFormat="1" x14ac:dyDescent="0.35"/>
    <row r="454" s="13" customFormat="1" x14ac:dyDescent="0.35"/>
    <row r="455" s="13" customFormat="1" x14ac:dyDescent="0.35"/>
    <row r="456" s="13" customFormat="1" x14ac:dyDescent="0.35"/>
    <row r="457" s="13" customFormat="1" x14ac:dyDescent="0.35"/>
    <row r="458" s="13" customFormat="1" x14ac:dyDescent="0.35"/>
    <row r="459" s="13" customFormat="1" x14ac:dyDescent="0.35"/>
    <row r="460" s="13" customFormat="1" x14ac:dyDescent="0.35"/>
    <row r="461" s="13" customFormat="1" x14ac:dyDescent="0.35"/>
    <row r="462" s="13" customFormat="1" x14ac:dyDescent="0.35"/>
    <row r="463" s="13" customFormat="1" x14ac:dyDescent="0.35"/>
    <row r="464" s="13" customFormat="1" x14ac:dyDescent="0.35"/>
    <row r="465" s="13" customFormat="1" x14ac:dyDescent="0.35"/>
    <row r="466" s="13" customFormat="1" x14ac:dyDescent="0.35"/>
    <row r="467" s="13" customFormat="1" x14ac:dyDescent="0.35"/>
    <row r="468" s="13" customFormat="1" x14ac:dyDescent="0.35"/>
    <row r="469" s="13" customFormat="1" x14ac:dyDescent="0.35"/>
    <row r="470" s="13" customFormat="1" x14ac:dyDescent="0.35"/>
    <row r="471" s="13" customFormat="1" x14ac:dyDescent="0.35"/>
    <row r="472" s="13" customFormat="1" x14ac:dyDescent="0.35"/>
    <row r="473" s="13" customFormat="1" x14ac:dyDescent="0.35"/>
    <row r="474" s="13" customFormat="1" x14ac:dyDescent="0.35"/>
    <row r="475" s="13" customFormat="1" x14ac:dyDescent="0.35"/>
    <row r="476" s="13" customFormat="1" x14ac:dyDescent="0.35"/>
    <row r="477" s="13" customFormat="1" x14ac:dyDescent="0.35"/>
    <row r="478" s="13" customFormat="1" x14ac:dyDescent="0.35"/>
    <row r="479" s="13" customFormat="1" x14ac:dyDescent="0.35"/>
    <row r="480" s="13" customFormat="1" x14ac:dyDescent="0.35"/>
    <row r="481" s="13" customFormat="1" x14ac:dyDescent="0.35"/>
    <row r="482" s="13" customFormat="1" x14ac:dyDescent="0.35"/>
    <row r="483" s="13" customFormat="1" x14ac:dyDescent="0.35"/>
    <row r="484" s="13" customFormat="1" x14ac:dyDescent="0.35"/>
    <row r="485" s="13" customFormat="1" x14ac:dyDescent="0.35"/>
    <row r="486" s="13" customFormat="1" x14ac:dyDescent="0.35"/>
    <row r="487" s="13" customFormat="1" x14ac:dyDescent="0.35"/>
    <row r="488" s="13" customFormat="1" x14ac:dyDescent="0.35"/>
    <row r="489" s="13" customFormat="1" x14ac:dyDescent="0.35"/>
    <row r="490" s="13" customFormat="1" x14ac:dyDescent="0.35"/>
    <row r="491" s="13" customFormat="1" x14ac:dyDescent="0.35"/>
    <row r="492" s="13" customFormat="1" x14ac:dyDescent="0.35"/>
    <row r="493" s="13" customFormat="1" x14ac:dyDescent="0.35"/>
    <row r="494" s="13" customFormat="1" x14ac:dyDescent="0.35"/>
    <row r="495" s="13" customFormat="1" x14ac:dyDescent="0.35"/>
    <row r="496" s="13" customFormat="1" x14ac:dyDescent="0.35"/>
    <row r="497" s="13" customFormat="1" x14ac:dyDescent="0.35"/>
    <row r="498" s="13" customFormat="1" x14ac:dyDescent="0.35"/>
    <row r="499" s="13" customFormat="1" x14ac:dyDescent="0.35"/>
    <row r="500" s="13" customFormat="1" x14ac:dyDescent="0.35"/>
    <row r="501" s="13" customFormat="1" x14ac:dyDescent="0.35"/>
    <row r="502" s="13" customFormat="1" x14ac:dyDescent="0.35"/>
    <row r="503" s="13" customFormat="1" x14ac:dyDescent="0.35"/>
    <row r="504" s="13" customFormat="1" x14ac:dyDescent="0.35"/>
    <row r="505" s="13" customFormat="1" x14ac:dyDescent="0.35"/>
    <row r="506" s="13" customFormat="1" x14ac:dyDescent="0.35"/>
    <row r="507" s="13" customFormat="1" x14ac:dyDescent="0.35"/>
    <row r="508" s="13" customFormat="1" x14ac:dyDescent="0.35"/>
    <row r="509" s="13" customFormat="1" x14ac:dyDescent="0.35"/>
    <row r="510" s="13" customFormat="1" x14ac:dyDescent="0.35"/>
    <row r="511" s="13" customFormat="1" x14ac:dyDescent="0.35"/>
    <row r="512" s="13" customFormat="1" x14ac:dyDescent="0.35"/>
    <row r="513" s="13" customFormat="1" x14ac:dyDescent="0.35"/>
    <row r="514" s="13" customFormat="1" x14ac:dyDescent="0.35"/>
    <row r="515" s="13" customFormat="1" x14ac:dyDescent="0.35"/>
    <row r="516" s="13" customFormat="1" x14ac:dyDescent="0.35"/>
    <row r="517" s="13" customFormat="1" x14ac:dyDescent="0.35"/>
    <row r="518" s="13" customFormat="1" x14ac:dyDescent="0.35"/>
    <row r="519" s="13" customFormat="1" x14ac:dyDescent="0.35"/>
    <row r="520" s="13" customFormat="1" x14ac:dyDescent="0.35"/>
    <row r="521" s="13" customFormat="1" x14ac:dyDescent="0.35"/>
    <row r="522" s="13" customFormat="1" x14ac:dyDescent="0.35"/>
    <row r="523" s="13" customFormat="1" x14ac:dyDescent="0.35"/>
    <row r="524" s="13" customFormat="1" x14ac:dyDescent="0.35"/>
    <row r="525" s="13" customFormat="1" x14ac:dyDescent="0.35"/>
    <row r="526" s="13" customFormat="1" x14ac:dyDescent="0.35"/>
    <row r="527" s="13" customFormat="1" x14ac:dyDescent="0.35"/>
    <row r="528" s="13" customFormat="1" x14ac:dyDescent="0.35"/>
    <row r="529" s="13" customFormat="1" x14ac:dyDescent="0.35"/>
    <row r="530" s="13" customFormat="1" x14ac:dyDescent="0.35"/>
    <row r="531" s="13" customFormat="1" x14ac:dyDescent="0.35"/>
    <row r="532" s="13" customFormat="1" x14ac:dyDescent="0.35"/>
    <row r="533" s="13" customFormat="1" x14ac:dyDescent="0.35"/>
    <row r="534" s="13" customFormat="1" x14ac:dyDescent="0.35"/>
    <row r="535" s="13" customFormat="1" x14ac:dyDescent="0.35"/>
    <row r="536" s="13" customFormat="1" x14ac:dyDescent="0.35"/>
    <row r="537" s="13" customFormat="1" x14ac:dyDescent="0.35"/>
    <row r="538" s="13" customFormat="1" x14ac:dyDescent="0.35"/>
    <row r="539" s="13" customFormat="1" x14ac:dyDescent="0.35"/>
    <row r="540" s="13" customFormat="1" x14ac:dyDescent="0.35"/>
    <row r="541" s="13" customFormat="1" x14ac:dyDescent="0.35"/>
    <row r="542" s="13" customFormat="1" x14ac:dyDescent="0.35"/>
    <row r="543" s="13" customFormat="1" x14ac:dyDescent="0.35"/>
    <row r="544" s="13" customFormat="1" x14ac:dyDescent="0.35"/>
    <row r="545" s="13" customFormat="1" x14ac:dyDescent="0.35"/>
    <row r="546" s="13" customFormat="1" x14ac:dyDescent="0.35"/>
    <row r="547" s="13" customFormat="1" x14ac:dyDescent="0.35"/>
    <row r="548" s="13" customFormat="1" x14ac:dyDescent="0.35"/>
    <row r="549" s="13" customFormat="1" x14ac:dyDescent="0.35"/>
    <row r="550" s="13" customFormat="1" x14ac:dyDescent="0.35"/>
    <row r="551" s="13" customFormat="1" x14ac:dyDescent="0.35"/>
    <row r="552" s="13" customFormat="1" x14ac:dyDescent="0.35"/>
    <row r="553" s="13" customFormat="1" x14ac:dyDescent="0.35"/>
    <row r="554" s="13" customFormat="1" x14ac:dyDescent="0.35"/>
    <row r="555" s="13" customFormat="1" x14ac:dyDescent="0.35"/>
    <row r="556" s="13" customFormat="1" x14ac:dyDescent="0.35"/>
    <row r="557" s="13" customFormat="1" x14ac:dyDescent="0.35"/>
    <row r="558" s="13" customFormat="1" x14ac:dyDescent="0.35"/>
    <row r="559" s="13" customFormat="1" x14ac:dyDescent="0.35"/>
    <row r="560" s="13" customFormat="1" x14ac:dyDescent="0.35"/>
    <row r="561" s="13" customFormat="1" x14ac:dyDescent="0.35"/>
    <row r="562" s="13" customFormat="1" x14ac:dyDescent="0.35"/>
    <row r="563" s="13" customFormat="1" x14ac:dyDescent="0.35"/>
    <row r="564" s="13" customFormat="1" x14ac:dyDescent="0.35"/>
    <row r="565" s="13" customFormat="1" x14ac:dyDescent="0.35"/>
    <row r="566" s="13" customFormat="1" x14ac:dyDescent="0.35"/>
    <row r="567" s="13" customFormat="1" x14ac:dyDescent="0.35"/>
    <row r="568" s="13" customFormat="1" x14ac:dyDescent="0.35"/>
    <row r="569" s="13" customFormat="1" x14ac:dyDescent="0.35"/>
    <row r="570" s="13" customFormat="1" x14ac:dyDescent="0.35"/>
    <row r="571" s="13" customFormat="1" x14ac:dyDescent="0.35"/>
    <row r="572" s="13" customFormat="1" x14ac:dyDescent="0.35"/>
    <row r="573" s="13" customFormat="1" x14ac:dyDescent="0.35"/>
    <row r="574" s="13" customFormat="1" x14ac:dyDescent="0.35"/>
    <row r="575" s="13" customFormat="1" x14ac:dyDescent="0.35"/>
    <row r="576" s="13" customFormat="1" x14ac:dyDescent="0.35"/>
    <row r="577" s="13" customFormat="1" x14ac:dyDescent="0.35"/>
    <row r="578" s="13" customFormat="1" x14ac:dyDescent="0.35"/>
    <row r="579" s="13" customFormat="1" x14ac:dyDescent="0.35"/>
    <row r="580" s="13" customFormat="1" x14ac:dyDescent="0.35"/>
    <row r="581" s="13" customFormat="1" x14ac:dyDescent="0.35"/>
    <row r="582" s="13" customFormat="1" x14ac:dyDescent="0.35"/>
    <row r="583" s="13" customFormat="1" x14ac:dyDescent="0.35"/>
    <row r="584" s="13" customFormat="1" x14ac:dyDescent="0.35"/>
    <row r="585" s="13" customFormat="1" x14ac:dyDescent="0.35"/>
    <row r="586" s="13" customFormat="1" x14ac:dyDescent="0.35"/>
    <row r="587" s="13" customFormat="1" x14ac:dyDescent="0.35"/>
    <row r="588" s="13" customFormat="1" x14ac:dyDescent="0.35"/>
    <row r="589" s="13" customFormat="1" x14ac:dyDescent="0.35"/>
    <row r="590" s="13" customFormat="1" x14ac:dyDescent="0.35"/>
    <row r="591" s="13" customFormat="1" x14ac:dyDescent="0.35"/>
    <row r="592" s="13" customFormat="1" x14ac:dyDescent="0.35"/>
    <row r="593" s="13" customFormat="1" x14ac:dyDescent="0.35"/>
    <row r="594" s="13" customFormat="1" x14ac:dyDescent="0.35"/>
    <row r="595" s="13" customFormat="1" x14ac:dyDescent="0.35"/>
    <row r="596" s="13" customFormat="1" x14ac:dyDescent="0.35"/>
    <row r="597" s="13" customFormat="1" x14ac:dyDescent="0.35"/>
    <row r="598" s="13" customFormat="1" x14ac:dyDescent="0.35"/>
    <row r="599" s="13" customFormat="1" x14ac:dyDescent="0.35"/>
    <row r="600" s="13" customFormat="1" x14ac:dyDescent="0.35"/>
    <row r="601" s="13" customFormat="1" x14ac:dyDescent="0.35"/>
    <row r="602" s="13" customFormat="1" x14ac:dyDescent="0.35"/>
    <row r="603" s="13" customFormat="1" x14ac:dyDescent="0.35"/>
    <row r="604" s="13" customFormat="1" x14ac:dyDescent="0.35"/>
    <row r="605" s="13" customFormat="1" x14ac:dyDescent="0.35"/>
    <row r="606" s="13" customFormat="1" x14ac:dyDescent="0.35"/>
    <row r="607" s="13" customFormat="1" x14ac:dyDescent="0.35"/>
    <row r="608" s="13" customFormat="1" x14ac:dyDescent="0.35"/>
    <row r="609" s="13" customFormat="1" x14ac:dyDescent="0.35"/>
    <row r="610" s="13" customFormat="1" x14ac:dyDescent="0.35"/>
    <row r="611" s="13" customFormat="1" x14ac:dyDescent="0.35"/>
    <row r="612" s="13" customFormat="1" x14ac:dyDescent="0.35"/>
    <row r="613" s="13" customFormat="1" x14ac:dyDescent="0.35"/>
    <row r="614" s="13" customFormat="1" x14ac:dyDescent="0.35"/>
    <row r="615" s="13" customFormat="1" x14ac:dyDescent="0.35"/>
    <row r="616" s="13" customFormat="1" x14ac:dyDescent="0.35"/>
    <row r="617" s="13" customFormat="1" x14ac:dyDescent="0.35"/>
    <row r="618" s="13" customFormat="1" x14ac:dyDescent="0.35"/>
    <row r="619" s="13" customFormat="1" x14ac:dyDescent="0.35"/>
    <row r="620" s="13" customFormat="1" x14ac:dyDescent="0.35"/>
    <row r="621" s="13" customFormat="1" x14ac:dyDescent="0.35"/>
    <row r="622" s="13" customFormat="1" x14ac:dyDescent="0.35"/>
    <row r="623" s="13" customFormat="1" x14ac:dyDescent="0.35"/>
    <row r="624" s="13" customFormat="1" x14ac:dyDescent="0.35"/>
    <row r="625" s="13" customFormat="1" x14ac:dyDescent="0.35"/>
    <row r="626" s="13" customFormat="1" x14ac:dyDescent="0.35"/>
    <row r="627" s="13" customFormat="1" x14ac:dyDescent="0.35"/>
    <row r="628" s="13" customFormat="1" x14ac:dyDescent="0.35"/>
    <row r="629" s="13" customFormat="1" x14ac:dyDescent="0.35"/>
    <row r="630" s="13" customFormat="1" x14ac:dyDescent="0.35"/>
    <row r="631" s="13" customFormat="1" x14ac:dyDescent="0.35"/>
    <row r="632" s="13" customFormat="1" x14ac:dyDescent="0.35"/>
    <row r="633" s="13" customFormat="1" x14ac:dyDescent="0.35"/>
    <row r="634" s="13" customFormat="1" x14ac:dyDescent="0.35"/>
    <row r="635" s="13" customFormat="1" x14ac:dyDescent="0.35"/>
    <row r="636" s="13" customFormat="1" x14ac:dyDescent="0.35"/>
    <row r="637" s="13" customFormat="1" x14ac:dyDescent="0.35"/>
    <row r="638" s="13" customFormat="1" x14ac:dyDescent="0.35"/>
    <row r="639" s="13" customFormat="1" x14ac:dyDescent="0.35"/>
    <row r="640" s="13" customFormat="1" x14ac:dyDescent="0.35"/>
    <row r="641" s="13" customFormat="1" x14ac:dyDescent="0.35"/>
    <row r="642" s="13" customFormat="1" x14ac:dyDescent="0.35"/>
    <row r="643" s="13" customFormat="1" x14ac:dyDescent="0.35"/>
    <row r="644" s="13" customFormat="1" x14ac:dyDescent="0.35"/>
    <row r="645" s="13" customFormat="1" x14ac:dyDescent="0.35"/>
    <row r="646" s="13" customFormat="1" x14ac:dyDescent="0.35"/>
    <row r="647" s="13" customFormat="1" x14ac:dyDescent="0.35"/>
    <row r="648" s="13" customFormat="1" x14ac:dyDescent="0.35"/>
    <row r="649" s="13" customFormat="1" x14ac:dyDescent="0.35"/>
    <row r="650" s="13" customFormat="1" x14ac:dyDescent="0.35"/>
    <row r="651" s="13" customFormat="1" x14ac:dyDescent="0.35"/>
    <row r="652" s="13" customFormat="1" x14ac:dyDescent="0.35"/>
    <row r="653" s="13" customFormat="1" x14ac:dyDescent="0.35"/>
    <row r="654" s="13" customFormat="1" x14ac:dyDescent="0.35"/>
    <row r="655" s="13" customFormat="1" x14ac:dyDescent="0.35"/>
    <row r="656" s="13" customFormat="1" x14ac:dyDescent="0.35"/>
    <row r="657" s="13" customFormat="1" x14ac:dyDescent="0.35"/>
    <row r="658" s="13" customFormat="1" x14ac:dyDescent="0.35"/>
    <row r="659" s="13" customFormat="1" x14ac:dyDescent="0.35"/>
    <row r="660" s="13" customFormat="1" x14ac:dyDescent="0.35"/>
    <row r="661" s="13" customFormat="1" x14ac:dyDescent="0.35"/>
    <row r="662" s="13" customFormat="1" x14ac:dyDescent="0.35"/>
    <row r="663" s="13" customFormat="1" x14ac:dyDescent="0.35"/>
    <row r="664" s="13" customFormat="1" x14ac:dyDescent="0.35"/>
    <row r="665" s="13" customFormat="1" x14ac:dyDescent="0.35"/>
    <row r="666" s="13" customFormat="1" x14ac:dyDescent="0.35"/>
    <row r="667" s="13" customFormat="1" x14ac:dyDescent="0.35"/>
    <row r="668" s="13" customFormat="1" x14ac:dyDescent="0.35"/>
    <row r="669" s="13" customFormat="1" x14ac:dyDescent="0.35"/>
    <row r="670" s="13" customFormat="1" x14ac:dyDescent="0.35"/>
    <row r="671" s="13" customFormat="1" x14ac:dyDescent="0.35"/>
    <row r="672" s="13" customFormat="1" x14ac:dyDescent="0.35"/>
    <row r="673" s="13" customFormat="1" x14ac:dyDescent="0.35"/>
    <row r="674" s="13" customFormat="1" x14ac:dyDescent="0.35"/>
    <row r="675" s="13" customFormat="1" x14ac:dyDescent="0.35"/>
    <row r="676" s="13" customFormat="1" x14ac:dyDescent="0.35"/>
    <row r="677" s="13" customFormat="1" x14ac:dyDescent="0.35"/>
    <row r="678" s="13" customFormat="1" x14ac:dyDescent="0.35"/>
    <row r="679" s="13" customFormat="1" x14ac:dyDescent="0.35"/>
    <row r="680" s="13" customFormat="1" x14ac:dyDescent="0.35"/>
    <row r="681" s="13" customFormat="1" x14ac:dyDescent="0.35"/>
    <row r="682" s="13" customFormat="1" x14ac:dyDescent="0.35"/>
    <row r="683" s="13" customFormat="1" x14ac:dyDescent="0.35"/>
    <row r="684" s="13" customFormat="1" x14ac:dyDescent="0.35"/>
    <row r="685" s="13" customFormat="1" x14ac:dyDescent="0.35"/>
    <row r="686" s="13" customFormat="1" x14ac:dyDescent="0.35"/>
    <row r="687" s="13" customFormat="1" x14ac:dyDescent="0.35"/>
    <row r="688" s="13" customFormat="1" x14ac:dyDescent="0.35"/>
    <row r="689" s="13" customFormat="1" x14ac:dyDescent="0.35"/>
    <row r="690" s="13" customFormat="1" x14ac:dyDescent="0.35"/>
    <row r="691" s="13" customFormat="1" x14ac:dyDescent="0.35"/>
    <row r="692" s="13" customFormat="1" x14ac:dyDescent="0.35"/>
    <row r="693" s="13" customFormat="1" x14ac:dyDescent="0.35"/>
    <row r="694" s="13" customFormat="1" x14ac:dyDescent="0.35"/>
    <row r="695" s="13" customFormat="1" x14ac:dyDescent="0.35"/>
    <row r="696" s="13" customFormat="1" x14ac:dyDescent="0.35"/>
    <row r="697" s="13" customFormat="1" x14ac:dyDescent="0.35"/>
    <row r="698" s="13" customFormat="1" x14ac:dyDescent="0.35"/>
    <row r="699" s="13" customFormat="1" x14ac:dyDescent="0.35"/>
    <row r="700" s="13" customFormat="1" x14ac:dyDescent="0.35"/>
    <row r="701" s="13" customFormat="1" x14ac:dyDescent="0.35"/>
    <row r="702" s="13" customFormat="1" x14ac:dyDescent="0.35"/>
    <row r="703" s="13" customFormat="1" x14ac:dyDescent="0.35"/>
    <row r="704" s="13" customFormat="1" x14ac:dyDescent="0.35"/>
    <row r="705" s="13" customFormat="1" x14ac:dyDescent="0.35"/>
    <row r="706" s="13" customFormat="1" x14ac:dyDescent="0.35"/>
    <row r="707" s="13" customFormat="1" x14ac:dyDescent="0.35"/>
    <row r="708" s="13" customFormat="1" x14ac:dyDescent="0.35"/>
    <row r="709" s="13" customFormat="1" x14ac:dyDescent="0.35"/>
    <row r="710" s="13" customFormat="1" x14ac:dyDescent="0.35"/>
    <row r="711" s="13" customFormat="1" x14ac:dyDescent="0.35"/>
    <row r="712" s="13" customFormat="1" x14ac:dyDescent="0.35"/>
    <row r="713" s="13" customFormat="1" x14ac:dyDescent="0.35"/>
    <row r="714" s="13" customFormat="1" x14ac:dyDescent="0.35"/>
    <row r="715" s="13" customFormat="1" x14ac:dyDescent="0.35"/>
    <row r="716" s="13" customFormat="1" x14ac:dyDescent="0.35"/>
    <row r="717" s="13" customFormat="1" x14ac:dyDescent="0.35"/>
    <row r="718" s="13" customFormat="1" x14ac:dyDescent="0.35"/>
    <row r="719" s="13" customFormat="1" x14ac:dyDescent="0.35"/>
    <row r="720" s="13" customFormat="1" x14ac:dyDescent="0.35"/>
    <row r="721" s="13" customFormat="1" x14ac:dyDescent="0.35"/>
    <row r="722" s="13" customFormat="1" x14ac:dyDescent="0.35"/>
    <row r="723" s="13" customFormat="1" x14ac:dyDescent="0.35"/>
    <row r="724" s="13" customFormat="1" x14ac:dyDescent="0.35"/>
    <row r="725" s="13" customFormat="1" x14ac:dyDescent="0.35"/>
    <row r="726" s="13" customFormat="1" x14ac:dyDescent="0.35"/>
    <row r="727" s="13" customFormat="1" x14ac:dyDescent="0.35"/>
    <row r="728" s="13" customFormat="1" x14ac:dyDescent="0.35"/>
    <row r="729" s="13" customFormat="1" x14ac:dyDescent="0.35"/>
    <row r="730" s="13" customFormat="1" x14ac:dyDescent="0.35"/>
    <row r="731" s="13" customFormat="1" x14ac:dyDescent="0.35"/>
    <row r="732" s="13" customFormat="1" x14ac:dyDescent="0.35"/>
    <row r="733" s="13" customFormat="1" x14ac:dyDescent="0.35"/>
    <row r="734" s="13" customFormat="1" x14ac:dyDescent="0.35"/>
    <row r="735" s="13" customFormat="1" x14ac:dyDescent="0.35"/>
    <row r="736" s="13" customFormat="1" x14ac:dyDescent="0.35"/>
    <row r="737" s="13" customFormat="1" x14ac:dyDescent="0.35"/>
    <row r="738" s="13" customFormat="1" x14ac:dyDescent="0.35"/>
    <row r="739" s="13" customFormat="1" x14ac:dyDescent="0.35"/>
    <row r="740" s="13" customFormat="1" x14ac:dyDescent="0.35"/>
    <row r="741" s="13" customFormat="1" x14ac:dyDescent="0.35"/>
    <row r="742" s="13" customFormat="1" x14ac:dyDescent="0.35"/>
    <row r="743" s="13" customFormat="1" x14ac:dyDescent="0.35"/>
    <row r="744" s="13" customFormat="1" x14ac:dyDescent="0.35"/>
    <row r="745" s="13" customFormat="1" x14ac:dyDescent="0.35"/>
    <row r="746" s="13" customFormat="1" x14ac:dyDescent="0.35"/>
    <row r="747" s="13" customFormat="1" x14ac:dyDescent="0.35"/>
    <row r="748" s="13" customFormat="1" x14ac:dyDescent="0.35"/>
    <row r="749" s="13" customFormat="1" x14ac:dyDescent="0.35"/>
    <row r="750" s="13" customFormat="1" x14ac:dyDescent="0.35"/>
    <row r="751" s="13" customFormat="1" x14ac:dyDescent="0.35"/>
    <row r="752" s="13" customFormat="1" x14ac:dyDescent="0.35"/>
    <row r="753" s="13" customFormat="1" x14ac:dyDescent="0.35"/>
    <row r="754" s="13" customFormat="1" x14ac:dyDescent="0.35"/>
    <row r="755" s="13" customFormat="1" x14ac:dyDescent="0.35"/>
    <row r="756" s="13" customFormat="1" x14ac:dyDescent="0.35"/>
    <row r="757" s="13" customFormat="1" x14ac:dyDescent="0.35"/>
    <row r="758" s="13" customFormat="1" x14ac:dyDescent="0.35"/>
    <row r="759" s="13" customFormat="1" x14ac:dyDescent="0.35"/>
    <row r="760" s="13" customFormat="1" x14ac:dyDescent="0.35"/>
    <row r="761" s="13" customFormat="1" x14ac:dyDescent="0.35"/>
    <row r="762" s="13" customFormat="1" x14ac:dyDescent="0.35"/>
    <row r="763" s="13" customFormat="1" x14ac:dyDescent="0.35"/>
    <row r="764" s="13" customFormat="1" x14ac:dyDescent="0.35"/>
    <row r="765" s="13" customFormat="1" x14ac:dyDescent="0.35"/>
    <row r="766" s="13" customFormat="1" x14ac:dyDescent="0.35"/>
    <row r="767" s="13" customFormat="1" x14ac:dyDescent="0.35"/>
    <row r="768" s="13" customFormat="1" x14ac:dyDescent="0.35"/>
    <row r="769" s="13" customFormat="1" x14ac:dyDescent="0.35"/>
    <row r="770" s="13" customFormat="1" x14ac:dyDescent="0.35"/>
    <row r="771" s="13" customFormat="1" x14ac:dyDescent="0.35"/>
    <row r="772" s="13" customFormat="1" x14ac:dyDescent="0.35"/>
    <row r="773" s="13" customFormat="1" x14ac:dyDescent="0.35"/>
    <row r="774" s="13" customFormat="1" x14ac:dyDescent="0.35"/>
    <row r="775" s="13" customFormat="1" x14ac:dyDescent="0.35"/>
    <row r="776" s="13" customFormat="1" x14ac:dyDescent="0.35"/>
    <row r="777" s="13" customFormat="1" x14ac:dyDescent="0.35"/>
    <row r="778" s="13" customFormat="1" x14ac:dyDescent="0.35"/>
    <row r="779" s="13" customFormat="1" x14ac:dyDescent="0.35"/>
    <row r="780" s="13" customFormat="1" x14ac:dyDescent="0.35"/>
    <row r="781" s="13" customFormat="1" x14ac:dyDescent="0.35"/>
    <row r="782" s="13" customFormat="1" x14ac:dyDescent="0.35"/>
    <row r="783" s="13" customFormat="1" x14ac:dyDescent="0.35"/>
    <row r="784" s="13" customFormat="1" x14ac:dyDescent="0.35"/>
    <row r="785" s="13" customFormat="1" x14ac:dyDescent="0.35"/>
    <row r="786" s="13" customFormat="1" x14ac:dyDescent="0.35"/>
    <row r="787" s="13" customFormat="1" x14ac:dyDescent="0.35"/>
    <row r="788" s="13" customFormat="1" x14ac:dyDescent="0.35"/>
    <row r="789" s="13" customFormat="1" x14ac:dyDescent="0.35"/>
    <row r="790" s="13" customFormat="1" x14ac:dyDescent="0.35"/>
    <row r="791" s="13" customFormat="1" x14ac:dyDescent="0.35"/>
    <row r="792" s="13" customFormat="1" x14ac:dyDescent="0.35"/>
    <row r="793" s="13" customFormat="1" x14ac:dyDescent="0.35"/>
    <row r="794" s="13" customFormat="1" x14ac:dyDescent="0.35"/>
    <row r="795" s="13" customFormat="1" x14ac:dyDescent="0.35"/>
    <row r="796" s="13" customFormat="1" x14ac:dyDescent="0.35"/>
    <row r="797" s="13" customFormat="1" x14ac:dyDescent="0.35"/>
    <row r="798" s="13" customFormat="1" x14ac:dyDescent="0.35"/>
    <row r="799" s="13" customFormat="1" x14ac:dyDescent="0.35"/>
    <row r="800" s="13" customFormat="1" x14ac:dyDescent="0.35"/>
    <row r="801" s="13" customFormat="1" x14ac:dyDescent="0.35"/>
    <row r="802" s="13" customFormat="1" x14ac:dyDescent="0.35"/>
    <row r="803" s="13" customFormat="1" x14ac:dyDescent="0.35"/>
    <row r="804" s="13" customFormat="1" x14ac:dyDescent="0.35"/>
    <row r="805" s="13" customFormat="1" x14ac:dyDescent="0.35"/>
    <row r="806" s="13" customFormat="1" x14ac:dyDescent="0.35"/>
    <row r="807" s="13" customFormat="1" x14ac:dyDescent="0.35"/>
    <row r="808" s="13" customFormat="1" x14ac:dyDescent="0.35"/>
    <row r="809" s="13" customFormat="1" x14ac:dyDescent="0.35"/>
    <row r="810" s="13" customFormat="1" x14ac:dyDescent="0.35"/>
    <row r="811" s="13" customFormat="1" x14ac:dyDescent="0.35"/>
    <row r="812" s="13" customFormat="1" x14ac:dyDescent="0.35"/>
    <row r="813" s="13" customFormat="1" x14ac:dyDescent="0.35"/>
    <row r="814" s="13" customFormat="1" x14ac:dyDescent="0.35"/>
    <row r="815" s="13" customFormat="1" x14ac:dyDescent="0.35"/>
    <row r="816" s="13" customFormat="1" x14ac:dyDescent="0.35"/>
    <row r="817" s="13" customFormat="1" x14ac:dyDescent="0.35"/>
    <row r="818" s="13" customFormat="1" x14ac:dyDescent="0.35"/>
    <row r="819" s="13" customFormat="1" x14ac:dyDescent="0.35"/>
    <row r="820" s="13" customFormat="1" x14ac:dyDescent="0.35"/>
    <row r="821" s="13" customFormat="1" x14ac:dyDescent="0.35"/>
    <row r="822" s="13" customFormat="1" x14ac:dyDescent="0.35"/>
    <row r="823" s="13" customFormat="1" x14ac:dyDescent="0.35"/>
    <row r="824" s="13" customFormat="1" x14ac:dyDescent="0.35"/>
    <row r="825" s="13" customFormat="1" x14ac:dyDescent="0.35"/>
    <row r="826" s="13" customFormat="1" x14ac:dyDescent="0.35"/>
    <row r="827" s="13" customFormat="1" x14ac:dyDescent="0.35"/>
    <row r="828" s="13" customFormat="1" x14ac:dyDescent="0.35"/>
    <row r="829" s="13" customFormat="1" x14ac:dyDescent="0.35"/>
    <row r="830" s="13" customFormat="1" x14ac:dyDescent="0.35"/>
    <row r="831" s="13" customFormat="1" x14ac:dyDescent="0.35"/>
    <row r="832" s="13" customFormat="1" x14ac:dyDescent="0.35"/>
    <row r="833" s="13" customFormat="1" x14ac:dyDescent="0.35"/>
    <row r="834" s="13" customFormat="1" x14ac:dyDescent="0.35"/>
    <row r="835" s="13" customFormat="1" x14ac:dyDescent="0.35"/>
    <row r="836" s="13" customFormat="1" x14ac:dyDescent="0.35"/>
    <row r="837" s="13" customFormat="1" x14ac:dyDescent="0.35"/>
    <row r="838" s="13" customFormat="1" x14ac:dyDescent="0.35"/>
    <row r="839" s="13" customFormat="1" x14ac:dyDescent="0.35"/>
    <row r="840" s="13" customFormat="1" x14ac:dyDescent="0.35"/>
    <row r="841" s="13" customFormat="1" x14ac:dyDescent="0.35"/>
    <row r="842" s="13" customFormat="1" x14ac:dyDescent="0.35"/>
    <row r="843" s="13" customFormat="1" x14ac:dyDescent="0.35"/>
    <row r="844" s="13" customFormat="1" x14ac:dyDescent="0.35"/>
    <row r="845" s="13" customFormat="1" x14ac:dyDescent="0.35"/>
    <row r="846" s="13" customFormat="1" x14ac:dyDescent="0.35"/>
    <row r="847" s="13" customFormat="1" x14ac:dyDescent="0.35"/>
    <row r="848" s="13" customFormat="1" x14ac:dyDescent="0.35"/>
    <row r="849" s="13" customFormat="1" x14ac:dyDescent="0.35"/>
    <row r="850" s="13" customFormat="1" x14ac:dyDescent="0.35"/>
    <row r="851" s="13" customFormat="1" x14ac:dyDescent="0.35"/>
    <row r="852" s="13" customFormat="1" x14ac:dyDescent="0.35"/>
    <row r="853" s="13" customFormat="1" x14ac:dyDescent="0.35"/>
    <row r="854" s="13" customFormat="1" x14ac:dyDescent="0.35"/>
    <row r="855" s="13" customFormat="1" x14ac:dyDescent="0.35"/>
    <row r="856" s="13" customFormat="1" x14ac:dyDescent="0.35"/>
    <row r="857" s="13" customFormat="1" x14ac:dyDescent="0.35"/>
    <row r="858" s="13" customFormat="1" x14ac:dyDescent="0.35"/>
    <row r="859" s="13" customFormat="1" x14ac:dyDescent="0.35"/>
    <row r="860" s="13" customFormat="1" x14ac:dyDescent="0.35"/>
    <row r="861" s="13" customFormat="1" x14ac:dyDescent="0.35"/>
    <row r="862" s="13" customFormat="1" x14ac:dyDescent="0.35"/>
    <row r="863" s="13" customFormat="1" x14ac:dyDescent="0.35"/>
    <row r="864" s="13" customFormat="1" x14ac:dyDescent="0.35"/>
    <row r="865" s="13" customFormat="1" x14ac:dyDescent="0.35"/>
    <row r="866" s="13" customFormat="1" x14ac:dyDescent="0.35"/>
    <row r="867" s="13" customFormat="1" x14ac:dyDescent="0.35"/>
    <row r="868" s="13" customFormat="1" x14ac:dyDescent="0.35"/>
    <row r="869" s="13" customFormat="1" x14ac:dyDescent="0.35"/>
    <row r="870" s="13" customFormat="1" x14ac:dyDescent="0.35"/>
    <row r="871" s="13" customFormat="1" x14ac:dyDescent="0.35"/>
    <row r="872" s="13" customFormat="1" x14ac:dyDescent="0.35"/>
    <row r="873" s="13" customFormat="1" x14ac:dyDescent="0.35"/>
    <row r="874" s="13" customFormat="1" x14ac:dyDescent="0.35"/>
    <row r="875" s="13" customFormat="1" x14ac:dyDescent="0.35"/>
    <row r="876" s="13" customFormat="1" x14ac:dyDescent="0.35"/>
    <row r="877" s="13" customFormat="1" x14ac:dyDescent="0.35"/>
    <row r="878" s="13" customFormat="1" x14ac:dyDescent="0.35"/>
    <row r="879" s="13" customFormat="1" x14ac:dyDescent="0.35"/>
    <row r="880" s="13" customFormat="1" x14ac:dyDescent="0.35"/>
    <row r="881" s="13" customFormat="1" x14ac:dyDescent="0.35"/>
    <row r="882" s="13" customFormat="1" x14ac:dyDescent="0.35"/>
    <row r="883" s="13" customFormat="1" x14ac:dyDescent="0.35"/>
    <row r="884" s="13" customFormat="1" x14ac:dyDescent="0.35"/>
    <row r="885" s="13" customFormat="1" x14ac:dyDescent="0.35"/>
    <row r="886" s="13" customFormat="1" x14ac:dyDescent="0.35"/>
    <row r="887" s="13" customFormat="1" x14ac:dyDescent="0.35"/>
    <row r="888" s="13" customFormat="1" x14ac:dyDescent="0.35"/>
    <row r="889" s="13" customFormat="1" x14ac:dyDescent="0.35"/>
    <row r="890" s="13" customFormat="1" x14ac:dyDescent="0.35"/>
    <row r="891" s="13" customFormat="1" x14ac:dyDescent="0.35"/>
    <row r="892" s="13" customFormat="1" x14ac:dyDescent="0.35"/>
    <row r="893" s="13" customFormat="1" x14ac:dyDescent="0.35"/>
    <row r="894" s="13" customFormat="1" x14ac:dyDescent="0.35"/>
    <row r="895" s="13" customFormat="1" x14ac:dyDescent="0.35"/>
    <row r="896" s="13" customFormat="1" x14ac:dyDescent="0.35"/>
    <row r="897" s="13" customFormat="1" x14ac:dyDescent="0.35"/>
    <row r="898" s="13" customFormat="1" x14ac:dyDescent="0.35"/>
    <row r="899" s="13" customFormat="1" x14ac:dyDescent="0.35"/>
    <row r="900" s="13" customFormat="1" x14ac:dyDescent="0.35"/>
    <row r="901" s="13" customFormat="1" x14ac:dyDescent="0.35"/>
    <row r="902" s="13" customFormat="1" x14ac:dyDescent="0.35"/>
    <row r="903" s="13" customFormat="1" x14ac:dyDescent="0.35"/>
    <row r="904" s="13" customFormat="1" x14ac:dyDescent="0.35"/>
    <row r="905" s="13" customFormat="1" x14ac:dyDescent="0.35"/>
    <row r="906" s="13" customFormat="1" x14ac:dyDescent="0.35"/>
    <row r="907" s="13" customFormat="1" x14ac:dyDescent="0.35"/>
    <row r="908" s="13" customFormat="1" x14ac:dyDescent="0.35"/>
    <row r="909" s="13" customFormat="1" x14ac:dyDescent="0.35"/>
    <row r="910" s="13" customFormat="1" x14ac:dyDescent="0.35"/>
    <row r="911" s="13" customFormat="1" x14ac:dyDescent="0.35"/>
    <row r="912" s="13" customFormat="1" x14ac:dyDescent="0.35"/>
    <row r="913" s="13" customFormat="1" x14ac:dyDescent="0.35"/>
    <row r="914" s="13" customFormat="1" x14ac:dyDescent="0.35"/>
    <row r="915" s="13" customFormat="1" x14ac:dyDescent="0.35"/>
    <row r="916" s="13" customFormat="1" x14ac:dyDescent="0.35"/>
    <row r="917" s="13" customFormat="1" x14ac:dyDescent="0.35"/>
    <row r="918" s="13" customFormat="1" x14ac:dyDescent="0.35"/>
    <row r="919" s="13" customFormat="1" x14ac:dyDescent="0.35"/>
    <row r="920" s="13" customFormat="1" x14ac:dyDescent="0.35"/>
    <row r="921" s="13" customFormat="1" x14ac:dyDescent="0.35"/>
    <row r="922" s="13" customFormat="1" x14ac:dyDescent="0.35"/>
    <row r="923" s="13" customFormat="1" x14ac:dyDescent="0.35"/>
    <row r="924" s="13" customFormat="1" x14ac:dyDescent="0.35"/>
    <row r="925" s="13" customFormat="1" x14ac:dyDescent="0.35"/>
    <row r="926" s="13" customFormat="1" x14ac:dyDescent="0.35"/>
    <row r="927" s="13" customFormat="1" x14ac:dyDescent="0.35"/>
    <row r="928" s="13" customFormat="1" x14ac:dyDescent="0.35"/>
    <row r="929" s="13" customFormat="1" x14ac:dyDescent="0.35"/>
    <row r="930" s="13" customFormat="1" x14ac:dyDescent="0.35"/>
    <row r="931" s="13" customFormat="1" x14ac:dyDescent="0.35"/>
    <row r="932" s="13" customFormat="1" x14ac:dyDescent="0.35"/>
    <row r="933" s="13" customFormat="1" x14ac:dyDescent="0.35"/>
    <row r="934" s="13" customFormat="1" x14ac:dyDescent="0.35"/>
    <row r="935" s="13" customFormat="1" x14ac:dyDescent="0.35"/>
    <row r="936" s="13" customFormat="1" x14ac:dyDescent="0.35"/>
    <row r="937" s="13" customFormat="1" x14ac:dyDescent="0.35"/>
    <row r="938" s="13" customFormat="1" x14ac:dyDescent="0.35"/>
    <row r="939" s="13" customFormat="1" x14ac:dyDescent="0.35"/>
    <row r="940" s="13" customFormat="1" x14ac:dyDescent="0.35"/>
    <row r="941" s="13" customFormat="1" x14ac:dyDescent="0.35"/>
    <row r="942" s="13" customFormat="1" x14ac:dyDescent="0.35"/>
    <row r="943" s="13" customFormat="1" x14ac:dyDescent="0.35"/>
    <row r="944" s="13" customFormat="1" x14ac:dyDescent="0.35"/>
    <row r="945" s="13" customFormat="1" x14ac:dyDescent="0.35"/>
    <row r="946" s="13" customFormat="1" x14ac:dyDescent="0.35"/>
    <row r="947" s="13" customFormat="1" x14ac:dyDescent="0.35"/>
    <row r="948" s="13" customFormat="1" x14ac:dyDescent="0.35"/>
    <row r="949" s="13" customFormat="1" x14ac:dyDescent="0.35"/>
    <row r="950" s="13" customFormat="1" x14ac:dyDescent="0.35"/>
    <row r="951" s="13" customFormat="1" x14ac:dyDescent="0.35"/>
    <row r="952" s="13" customFormat="1" x14ac:dyDescent="0.35"/>
    <row r="953" s="13" customFormat="1" x14ac:dyDescent="0.35"/>
    <row r="954" s="13" customFormat="1" x14ac:dyDescent="0.35"/>
    <row r="955" s="13" customFormat="1" x14ac:dyDescent="0.35"/>
    <row r="956" s="13" customFormat="1" x14ac:dyDescent="0.35"/>
    <row r="957" s="13" customFormat="1" x14ac:dyDescent="0.35"/>
    <row r="958" s="13" customFormat="1" x14ac:dyDescent="0.35"/>
    <row r="959" s="13" customFormat="1" x14ac:dyDescent="0.35"/>
    <row r="960" s="13" customFormat="1" x14ac:dyDescent="0.35"/>
    <row r="961" s="13" customFormat="1" x14ac:dyDescent="0.35"/>
    <row r="962" s="13" customFormat="1" x14ac:dyDescent="0.35"/>
    <row r="963" s="13" customFormat="1" x14ac:dyDescent="0.35"/>
    <row r="964" s="13" customFormat="1" x14ac:dyDescent="0.35"/>
    <row r="965" s="13" customFormat="1" x14ac:dyDescent="0.35"/>
    <row r="966" s="13" customFormat="1" x14ac:dyDescent="0.35"/>
    <row r="967" s="13" customFormat="1" x14ac:dyDescent="0.35"/>
    <row r="968" s="13" customFormat="1" x14ac:dyDescent="0.35"/>
    <row r="969" s="13" customFormat="1" x14ac:dyDescent="0.35"/>
    <row r="970" s="13" customFormat="1" x14ac:dyDescent="0.35"/>
    <row r="971" s="13" customFormat="1" x14ac:dyDescent="0.35"/>
    <row r="972" s="13" customFormat="1" x14ac:dyDescent="0.35"/>
    <row r="973" s="13" customFormat="1" x14ac:dyDescent="0.35"/>
    <row r="974" s="13" customFormat="1" x14ac:dyDescent="0.35"/>
    <row r="975" s="13" customFormat="1" x14ac:dyDescent="0.35"/>
    <row r="976" s="13" customFormat="1" x14ac:dyDescent="0.35"/>
    <row r="977" s="13" customFormat="1" x14ac:dyDescent="0.35"/>
    <row r="978" s="13" customFormat="1" x14ac:dyDescent="0.35"/>
    <row r="979" s="13" customFormat="1" x14ac:dyDescent="0.35"/>
    <row r="980" s="13" customFormat="1" x14ac:dyDescent="0.35"/>
    <row r="981" s="13" customFormat="1" x14ac:dyDescent="0.35"/>
    <row r="982" s="13" customFormat="1" x14ac:dyDescent="0.35"/>
    <row r="983" s="13" customFormat="1" x14ac:dyDescent="0.35"/>
    <row r="984" s="13" customFormat="1" x14ac:dyDescent="0.35"/>
    <row r="985" s="13" customFormat="1" x14ac:dyDescent="0.35"/>
    <row r="986" s="13" customFormat="1" x14ac:dyDescent="0.35"/>
    <row r="987" s="13" customFormat="1" x14ac:dyDescent="0.35"/>
    <row r="988" s="13" customFormat="1" x14ac:dyDescent="0.35"/>
    <row r="989" s="13" customFormat="1" x14ac:dyDescent="0.35"/>
    <row r="990" s="13" customFormat="1" x14ac:dyDescent="0.35"/>
    <row r="991" s="13" customFormat="1" x14ac:dyDescent="0.35"/>
    <row r="992" s="13" customFormat="1" x14ac:dyDescent="0.35"/>
    <row r="993" s="13" customFormat="1" x14ac:dyDescent="0.35"/>
    <row r="994" s="13" customFormat="1" x14ac:dyDescent="0.35"/>
    <row r="995" s="13" customFormat="1" x14ac:dyDescent="0.35"/>
    <row r="996" s="13" customFormat="1" x14ac:dyDescent="0.35"/>
    <row r="997" s="13" customFormat="1" x14ac:dyDescent="0.35"/>
    <row r="998" s="13" customFormat="1" x14ac:dyDescent="0.35"/>
    <row r="999" s="13" customFormat="1" x14ac:dyDescent="0.35"/>
    <row r="1000" s="13" customFormat="1" x14ac:dyDescent="0.35"/>
    <row r="1001" s="13" customFormat="1" x14ac:dyDescent="0.35"/>
    <row r="1002" s="13" customFormat="1" x14ac:dyDescent="0.35"/>
    <row r="1003" s="13" customFormat="1" x14ac:dyDescent="0.35"/>
    <row r="1004" s="13" customFormat="1" x14ac:dyDescent="0.35"/>
    <row r="1005" s="13" customFormat="1" x14ac:dyDescent="0.35"/>
    <row r="1006" s="13" customFormat="1" x14ac:dyDescent="0.35"/>
    <row r="1007" s="13" customFormat="1" x14ac:dyDescent="0.35"/>
    <row r="1008" s="13" customFormat="1" x14ac:dyDescent="0.35"/>
    <row r="1009" s="13" customFormat="1" x14ac:dyDescent="0.35"/>
    <row r="1010" s="13" customFormat="1" x14ac:dyDescent="0.35"/>
    <row r="1011" s="13" customFormat="1" x14ac:dyDescent="0.35"/>
    <row r="1012" s="13" customFormat="1" x14ac:dyDescent="0.35"/>
    <row r="1013" s="13" customFormat="1" x14ac:dyDescent="0.35"/>
    <row r="1014" s="13" customFormat="1" x14ac:dyDescent="0.35"/>
    <row r="1015" s="13" customFormat="1" x14ac:dyDescent="0.35"/>
    <row r="1016" s="13" customFormat="1" x14ac:dyDescent="0.35"/>
    <row r="1017" s="13" customFormat="1" x14ac:dyDescent="0.35"/>
    <row r="1018" s="13" customFormat="1" x14ac:dyDescent="0.35"/>
    <row r="1019" s="13" customFormat="1" x14ac:dyDescent="0.35"/>
    <row r="1020" s="13" customFormat="1" x14ac:dyDescent="0.35"/>
    <row r="1021" s="13" customFormat="1" x14ac:dyDescent="0.35"/>
    <row r="1022" s="13" customFormat="1" x14ac:dyDescent="0.35"/>
    <row r="1023" s="13" customFormat="1" x14ac:dyDescent="0.35"/>
    <row r="1024" s="13" customFormat="1" x14ac:dyDescent="0.35"/>
    <row r="1025" s="13" customFormat="1" x14ac:dyDescent="0.35"/>
    <row r="1026" s="13" customFormat="1" x14ac:dyDescent="0.35"/>
    <row r="1027" s="13" customFormat="1" x14ac:dyDescent="0.35"/>
    <row r="1028" s="13" customFormat="1" x14ac:dyDescent="0.35"/>
    <row r="1029" s="13" customFormat="1" x14ac:dyDescent="0.35"/>
    <row r="1030" s="13" customFormat="1" x14ac:dyDescent="0.35"/>
    <row r="1031" s="13" customFormat="1" x14ac:dyDescent="0.35"/>
    <row r="1032" s="13" customFormat="1" x14ac:dyDescent="0.35"/>
    <row r="1033" s="13" customFormat="1" x14ac:dyDescent="0.35"/>
    <row r="1034" s="13" customFormat="1" x14ac:dyDescent="0.35"/>
    <row r="1035" s="13" customFormat="1" x14ac:dyDescent="0.35"/>
    <row r="1036" s="13" customFormat="1" x14ac:dyDescent="0.35"/>
    <row r="1037" s="13" customFormat="1" x14ac:dyDescent="0.35"/>
    <row r="1038" s="13" customFormat="1" x14ac:dyDescent="0.35"/>
    <row r="1039" s="13" customFormat="1" x14ac:dyDescent="0.35"/>
    <row r="1040" s="13" customFormat="1" x14ac:dyDescent="0.35"/>
    <row r="1041" s="13" customFormat="1" x14ac:dyDescent="0.35"/>
    <row r="1042" s="13" customFormat="1" x14ac:dyDescent="0.35"/>
    <row r="1043" s="13" customFormat="1" x14ac:dyDescent="0.35"/>
    <row r="1044" s="13" customFormat="1" x14ac:dyDescent="0.35"/>
    <row r="1045" s="13" customFormat="1" x14ac:dyDescent="0.35"/>
    <row r="1046" s="13" customFormat="1" x14ac:dyDescent="0.35"/>
    <row r="1047" s="13" customFormat="1" x14ac:dyDescent="0.35"/>
    <row r="1048" s="13" customFormat="1" x14ac:dyDescent="0.35"/>
    <row r="1049" s="13" customFormat="1" x14ac:dyDescent="0.35"/>
    <row r="1050" s="13" customFormat="1" x14ac:dyDescent="0.35"/>
    <row r="1051" s="13" customFormat="1" x14ac:dyDescent="0.35"/>
    <row r="1052" s="13" customFormat="1" x14ac:dyDescent="0.35"/>
    <row r="1053" s="13" customFormat="1" x14ac:dyDescent="0.35"/>
    <row r="1054" s="13" customFormat="1" x14ac:dyDescent="0.35"/>
    <row r="1055" s="13" customFormat="1" x14ac:dyDescent="0.35"/>
    <row r="1056" s="13" customFormat="1" x14ac:dyDescent="0.35"/>
    <row r="1057" s="13" customFormat="1" x14ac:dyDescent="0.35"/>
    <row r="1058" s="13" customFormat="1" x14ac:dyDescent="0.35"/>
    <row r="1059" s="13" customFormat="1" x14ac:dyDescent="0.35"/>
    <row r="1060" s="13" customFormat="1" x14ac:dyDescent="0.35"/>
    <row r="1061" s="13" customFormat="1" x14ac:dyDescent="0.35"/>
    <row r="1062" s="13" customFormat="1" x14ac:dyDescent="0.35"/>
    <row r="1063" s="13" customFormat="1" x14ac:dyDescent="0.35"/>
    <row r="1064" s="13" customFormat="1" x14ac:dyDescent="0.35"/>
    <row r="1065" s="13" customFormat="1" x14ac:dyDescent="0.35"/>
    <row r="1066" s="13" customFormat="1" x14ac:dyDescent="0.35"/>
    <row r="1067" s="13" customFormat="1" x14ac:dyDescent="0.35"/>
    <row r="1068" s="13" customFormat="1" x14ac:dyDescent="0.35"/>
    <row r="1069" s="13" customFormat="1" x14ac:dyDescent="0.35"/>
    <row r="1070" s="13" customFormat="1" x14ac:dyDescent="0.35"/>
    <row r="1071" s="13" customFormat="1" x14ac:dyDescent="0.35"/>
    <row r="1072" s="13" customFormat="1" x14ac:dyDescent="0.35"/>
    <row r="1073" s="13" customFormat="1" x14ac:dyDescent="0.35"/>
    <row r="1074" s="13" customFormat="1" x14ac:dyDescent="0.35"/>
    <row r="1075" s="13" customFormat="1" x14ac:dyDescent="0.35"/>
    <row r="1076" s="13" customFormat="1" x14ac:dyDescent="0.35"/>
    <row r="1077" s="13" customFormat="1" x14ac:dyDescent="0.35"/>
    <row r="1078" s="13" customFormat="1" x14ac:dyDescent="0.35"/>
    <row r="1079" s="13" customFormat="1" x14ac:dyDescent="0.35"/>
    <row r="1080" s="13" customFormat="1" x14ac:dyDescent="0.35"/>
    <row r="1081" s="13" customFormat="1" x14ac:dyDescent="0.35"/>
    <row r="1082" s="13" customFormat="1" x14ac:dyDescent="0.35"/>
    <row r="1083" s="13" customFormat="1" x14ac:dyDescent="0.35"/>
    <row r="1084" s="13" customFormat="1" x14ac:dyDescent="0.35"/>
    <row r="1085" s="13" customFormat="1" x14ac:dyDescent="0.35"/>
    <row r="1086" s="13" customFormat="1" x14ac:dyDescent="0.35"/>
    <row r="1087" s="13" customFormat="1" x14ac:dyDescent="0.35"/>
    <row r="1088" s="13" customFormat="1" x14ac:dyDescent="0.35"/>
    <row r="1089" s="13" customFormat="1" x14ac:dyDescent="0.35"/>
    <row r="1090" s="13" customFormat="1" x14ac:dyDescent="0.35"/>
    <row r="1091" s="13" customFormat="1" x14ac:dyDescent="0.35"/>
    <row r="1092" s="13" customFormat="1" x14ac:dyDescent="0.35"/>
    <row r="1093" s="13" customFormat="1" x14ac:dyDescent="0.35"/>
    <row r="1094" s="13" customFormat="1" x14ac:dyDescent="0.35"/>
    <row r="1095" s="13" customFormat="1" x14ac:dyDescent="0.35"/>
    <row r="1096" s="13" customFormat="1" x14ac:dyDescent="0.35"/>
    <row r="1097" s="13" customFormat="1" x14ac:dyDescent="0.35"/>
    <row r="1098" s="13" customFormat="1" x14ac:dyDescent="0.35"/>
    <row r="1099" s="13" customFormat="1" x14ac:dyDescent="0.35"/>
    <row r="1100" s="13" customFormat="1" x14ac:dyDescent="0.35"/>
    <row r="1101" s="13" customFormat="1" x14ac:dyDescent="0.35"/>
    <row r="1102" s="13" customFormat="1" x14ac:dyDescent="0.35"/>
    <row r="1103" s="13" customFormat="1" x14ac:dyDescent="0.35"/>
    <row r="1104" s="13" customFormat="1" x14ac:dyDescent="0.35"/>
    <row r="1105" s="13" customFormat="1" x14ac:dyDescent="0.35"/>
    <row r="1106" s="13" customFormat="1" x14ac:dyDescent="0.35"/>
    <row r="1107" s="13" customFormat="1" x14ac:dyDescent="0.35"/>
    <row r="1108" s="13" customFormat="1" x14ac:dyDescent="0.35"/>
    <row r="1109" s="13" customFormat="1" x14ac:dyDescent="0.35"/>
    <row r="1110" s="13" customFormat="1" x14ac:dyDescent="0.35"/>
    <row r="1111" s="13" customFormat="1" x14ac:dyDescent="0.35"/>
    <row r="1112" s="13" customFormat="1" x14ac:dyDescent="0.35"/>
    <row r="1113" s="13" customFormat="1" x14ac:dyDescent="0.35"/>
    <row r="1114" s="13" customFormat="1" x14ac:dyDescent="0.35"/>
    <row r="1115" s="13" customFormat="1" x14ac:dyDescent="0.35"/>
    <row r="1116" s="13" customFormat="1" x14ac:dyDescent="0.35"/>
    <row r="1117" s="13" customFormat="1" x14ac:dyDescent="0.35"/>
    <row r="1118" s="13" customFormat="1" x14ac:dyDescent="0.35"/>
    <row r="1119" s="13" customFormat="1" x14ac:dyDescent="0.35"/>
    <row r="1120" s="13" customFormat="1" x14ac:dyDescent="0.35"/>
    <row r="1121" s="13" customFormat="1" x14ac:dyDescent="0.35"/>
    <row r="1122" s="13" customFormat="1" x14ac:dyDescent="0.35"/>
    <row r="1123" s="13" customFormat="1" x14ac:dyDescent="0.35"/>
    <row r="1124" s="13" customFormat="1" x14ac:dyDescent="0.35"/>
    <row r="1125" s="13" customFormat="1" x14ac:dyDescent="0.35"/>
    <row r="1126" s="13" customFormat="1" x14ac:dyDescent="0.35"/>
    <row r="1127" s="13" customFormat="1" x14ac:dyDescent="0.35"/>
    <row r="1128" s="13" customFormat="1" x14ac:dyDescent="0.35"/>
    <row r="1129" s="13" customFormat="1" x14ac:dyDescent="0.35"/>
    <row r="1130" s="13" customFormat="1" x14ac:dyDescent="0.35"/>
    <row r="1131" s="13" customFormat="1" x14ac:dyDescent="0.35"/>
    <row r="1132" s="13" customFormat="1" x14ac:dyDescent="0.35"/>
    <row r="1133" s="13" customFormat="1" x14ac:dyDescent="0.35"/>
    <row r="1134" s="13" customFormat="1" x14ac:dyDescent="0.35"/>
    <row r="1135" s="13" customFormat="1" x14ac:dyDescent="0.35"/>
    <row r="1136" s="13" customFormat="1" x14ac:dyDescent="0.35"/>
    <row r="1137" s="13" customFormat="1" x14ac:dyDescent="0.35"/>
    <row r="1138" s="13" customFormat="1" x14ac:dyDescent="0.35"/>
    <row r="1139" s="13" customFormat="1" x14ac:dyDescent="0.35"/>
    <row r="1140" s="13" customFormat="1" x14ac:dyDescent="0.35"/>
    <row r="1141" s="13" customFormat="1" x14ac:dyDescent="0.35"/>
    <row r="1142" s="13" customFormat="1" x14ac:dyDescent="0.35"/>
    <row r="1143" s="13" customFormat="1" x14ac:dyDescent="0.35"/>
    <row r="1144" s="13" customFormat="1" x14ac:dyDescent="0.35"/>
    <row r="1145" s="13" customFormat="1" x14ac:dyDescent="0.35"/>
    <row r="1146" s="13" customFormat="1" x14ac:dyDescent="0.35"/>
    <row r="1147" s="13" customFormat="1" x14ac:dyDescent="0.35"/>
    <row r="1148" s="13" customFormat="1" x14ac:dyDescent="0.35"/>
    <row r="1149" s="13" customFormat="1" x14ac:dyDescent="0.35"/>
    <row r="1150" s="13" customFormat="1" x14ac:dyDescent="0.35"/>
    <row r="1151" s="13" customFormat="1" x14ac:dyDescent="0.35"/>
    <row r="1152" s="13" customFormat="1" x14ac:dyDescent="0.35"/>
    <row r="1153" s="13" customFormat="1" x14ac:dyDescent="0.35"/>
    <row r="1154" s="13" customFormat="1" x14ac:dyDescent="0.35"/>
    <row r="1155" s="13" customFormat="1" x14ac:dyDescent="0.35"/>
    <row r="1156" s="13" customFormat="1" x14ac:dyDescent="0.35"/>
    <row r="1157" s="13" customFormat="1" x14ac:dyDescent="0.35"/>
    <row r="1158" s="13" customFormat="1" x14ac:dyDescent="0.35"/>
    <row r="1159" s="13" customFormat="1" x14ac:dyDescent="0.35"/>
    <row r="1160" s="13" customFormat="1" x14ac:dyDescent="0.35"/>
    <row r="1161" s="13" customFormat="1" x14ac:dyDescent="0.35"/>
    <row r="1162" s="13" customFormat="1" x14ac:dyDescent="0.35"/>
    <row r="1163" s="13" customFormat="1" x14ac:dyDescent="0.35"/>
    <row r="1164" s="13" customFormat="1" x14ac:dyDescent="0.35"/>
    <row r="1165" s="13" customFormat="1" x14ac:dyDescent="0.35"/>
    <row r="1166" s="13" customFormat="1" x14ac:dyDescent="0.35"/>
    <row r="1167" s="13" customFormat="1" x14ac:dyDescent="0.35"/>
    <row r="1168" s="13" customFormat="1" x14ac:dyDescent="0.35"/>
    <row r="1169" s="13" customFormat="1" x14ac:dyDescent="0.35"/>
    <row r="1170" s="13" customFormat="1" x14ac:dyDescent="0.35"/>
    <row r="1171" s="13" customFormat="1" x14ac:dyDescent="0.35"/>
    <row r="1172" s="13" customFormat="1" x14ac:dyDescent="0.35"/>
    <row r="1173" s="13" customFormat="1" x14ac:dyDescent="0.35"/>
    <row r="1174" s="13" customFormat="1" x14ac:dyDescent="0.35"/>
    <row r="1175" s="13" customFormat="1" x14ac:dyDescent="0.35"/>
    <row r="1176" s="13" customFormat="1" x14ac:dyDescent="0.35"/>
    <row r="1177" s="13" customFormat="1" x14ac:dyDescent="0.35"/>
    <row r="1178" s="13" customFormat="1" x14ac:dyDescent="0.35"/>
    <row r="1179" s="13" customFormat="1" x14ac:dyDescent="0.35"/>
    <row r="1180" s="13" customFormat="1" x14ac:dyDescent="0.35"/>
    <row r="1181" s="13" customFormat="1" x14ac:dyDescent="0.35"/>
    <row r="1182" s="13" customFormat="1" x14ac:dyDescent="0.35"/>
    <row r="1183" s="13" customFormat="1" x14ac:dyDescent="0.35"/>
    <row r="1184" s="13" customFormat="1" x14ac:dyDescent="0.35"/>
    <row r="1185" s="13" customFormat="1" x14ac:dyDescent="0.35"/>
    <row r="1186" s="13" customFormat="1" x14ac:dyDescent="0.35"/>
    <row r="1187" s="13" customFormat="1" x14ac:dyDescent="0.35"/>
    <row r="1188" s="13" customFormat="1" x14ac:dyDescent="0.35"/>
    <row r="1189" s="13" customFormat="1" x14ac:dyDescent="0.35"/>
    <row r="1190" s="13" customFormat="1" x14ac:dyDescent="0.35"/>
    <row r="1191" s="13" customFormat="1" x14ac:dyDescent="0.35"/>
    <row r="1192" s="13" customFormat="1" x14ac:dyDescent="0.35"/>
    <row r="1193" s="13" customFormat="1" x14ac:dyDescent="0.35"/>
    <row r="1194" s="13" customFormat="1" x14ac:dyDescent="0.35"/>
    <row r="1195" s="13" customFormat="1" x14ac:dyDescent="0.35"/>
    <row r="1196" s="13" customFormat="1" x14ac:dyDescent="0.35"/>
    <row r="1197" s="13" customFormat="1" x14ac:dyDescent="0.35"/>
    <row r="1198" s="13" customFormat="1" x14ac:dyDescent="0.35"/>
    <row r="1199" s="13" customFormat="1" x14ac:dyDescent="0.35"/>
    <row r="1200" s="13" customFormat="1" x14ac:dyDescent="0.35"/>
    <row r="1201" s="13" customFormat="1" x14ac:dyDescent="0.35"/>
    <row r="1202" s="13" customFormat="1" x14ac:dyDescent="0.35"/>
    <row r="1203" s="13" customFormat="1" x14ac:dyDescent="0.35"/>
    <row r="1204" s="13" customFormat="1" x14ac:dyDescent="0.35"/>
    <row r="1205" s="13" customFormat="1" x14ac:dyDescent="0.35"/>
    <row r="1206" s="13" customFormat="1" x14ac:dyDescent="0.35"/>
    <row r="1207" s="13" customFormat="1" x14ac:dyDescent="0.35"/>
    <row r="1208" s="13" customFormat="1" x14ac:dyDescent="0.35"/>
    <row r="1209" s="13" customFormat="1" x14ac:dyDescent="0.35"/>
    <row r="1210" s="13" customFormat="1" x14ac:dyDescent="0.35"/>
    <row r="1211" s="13" customFormat="1" x14ac:dyDescent="0.35"/>
    <row r="1212" s="13" customFormat="1" x14ac:dyDescent="0.35"/>
    <row r="1213" s="13" customFormat="1" x14ac:dyDescent="0.35"/>
    <row r="1214" s="13" customFormat="1" x14ac:dyDescent="0.35"/>
    <row r="1215" s="13" customFormat="1" x14ac:dyDescent="0.35"/>
    <row r="1216" s="13" customFormat="1" x14ac:dyDescent="0.35"/>
    <row r="1217" s="13" customFormat="1" x14ac:dyDescent="0.35"/>
    <row r="1218" s="13" customFormat="1" x14ac:dyDescent="0.35"/>
    <row r="1219" s="13" customFormat="1" x14ac:dyDescent="0.35"/>
    <row r="1220" s="13" customFormat="1" x14ac:dyDescent="0.35"/>
    <row r="1221" s="13" customFormat="1" x14ac:dyDescent="0.35"/>
    <row r="1222" s="13" customFormat="1" x14ac:dyDescent="0.35"/>
    <row r="1223" s="13" customFormat="1" x14ac:dyDescent="0.35"/>
    <row r="1224" s="13" customFormat="1" x14ac:dyDescent="0.35"/>
    <row r="1225" s="13" customFormat="1" x14ac:dyDescent="0.35"/>
    <row r="1226" s="13" customFormat="1" x14ac:dyDescent="0.35"/>
    <row r="1227" s="13" customFormat="1" x14ac:dyDescent="0.35"/>
    <row r="1228" s="13" customFormat="1" x14ac:dyDescent="0.35"/>
    <row r="1229" s="13" customFormat="1" x14ac:dyDescent="0.35"/>
    <row r="1230" s="13" customFormat="1" x14ac:dyDescent="0.35"/>
    <row r="1231" s="13" customFormat="1" x14ac:dyDescent="0.35"/>
    <row r="1232" s="13" customFormat="1" x14ac:dyDescent="0.35"/>
    <row r="1233" s="13" customFormat="1" x14ac:dyDescent="0.35"/>
    <row r="1234" s="13" customFormat="1" x14ac:dyDescent="0.35"/>
    <row r="1235" s="13" customFormat="1" x14ac:dyDescent="0.35"/>
    <row r="1236" s="13" customFormat="1" x14ac:dyDescent="0.35"/>
    <row r="1237" s="13" customFormat="1" x14ac:dyDescent="0.35"/>
    <row r="1238" s="13" customFormat="1" x14ac:dyDescent="0.35"/>
    <row r="1239" s="13" customFormat="1" x14ac:dyDescent="0.35"/>
    <row r="1240" s="13" customFormat="1" x14ac:dyDescent="0.35"/>
    <row r="1241" s="13" customFormat="1" x14ac:dyDescent="0.35"/>
    <row r="1242" s="13" customFormat="1" x14ac:dyDescent="0.35"/>
    <row r="1243" s="13" customFormat="1" x14ac:dyDescent="0.35"/>
    <row r="1244" s="13" customFormat="1" x14ac:dyDescent="0.35"/>
    <row r="1245" s="13" customFormat="1" x14ac:dyDescent="0.35"/>
    <row r="1246" s="13" customFormat="1" x14ac:dyDescent="0.35"/>
    <row r="1247" s="13" customFormat="1" x14ac:dyDescent="0.35"/>
    <row r="1248" s="13" customFormat="1" x14ac:dyDescent="0.35"/>
    <row r="1249" s="13" customFormat="1" x14ac:dyDescent="0.35"/>
    <row r="1250" s="13" customFormat="1" x14ac:dyDescent="0.35"/>
    <row r="1251" s="13" customFormat="1" x14ac:dyDescent="0.35"/>
    <row r="1252" s="13" customFormat="1" x14ac:dyDescent="0.35"/>
    <row r="1253" s="13" customFormat="1" x14ac:dyDescent="0.35"/>
    <row r="1254" s="13" customFormat="1" x14ac:dyDescent="0.35"/>
    <row r="1255" s="13" customFormat="1" x14ac:dyDescent="0.35"/>
    <row r="1256" s="13" customFormat="1" x14ac:dyDescent="0.35"/>
    <row r="1257" s="13" customFormat="1" x14ac:dyDescent="0.35"/>
    <row r="1258" s="13" customFormat="1" x14ac:dyDescent="0.35"/>
    <row r="1259" s="13" customFormat="1" x14ac:dyDescent="0.35"/>
    <row r="1260" s="13" customFormat="1" x14ac:dyDescent="0.35"/>
    <row r="1261" s="13" customFormat="1" x14ac:dyDescent="0.35"/>
    <row r="1262" s="13" customFormat="1" x14ac:dyDescent="0.35"/>
    <row r="1263" s="13" customFormat="1" x14ac:dyDescent="0.35"/>
    <row r="1264" s="13" customFormat="1" x14ac:dyDescent="0.35"/>
    <row r="1265" s="13" customFormat="1" x14ac:dyDescent="0.35"/>
    <row r="1266" s="13" customFormat="1" x14ac:dyDescent="0.35"/>
    <row r="1267" s="13" customFormat="1" x14ac:dyDescent="0.35"/>
    <row r="1268" s="13" customFormat="1" x14ac:dyDescent="0.35"/>
    <row r="1269" s="13" customFormat="1" x14ac:dyDescent="0.35"/>
    <row r="1270" s="13" customFormat="1" x14ac:dyDescent="0.35"/>
    <row r="1271" s="13" customFormat="1" x14ac:dyDescent="0.35"/>
    <row r="1272" s="13" customFormat="1" x14ac:dyDescent="0.35"/>
    <row r="1273" s="13" customFormat="1" x14ac:dyDescent="0.35"/>
    <row r="1274" s="13" customFormat="1" x14ac:dyDescent="0.35"/>
    <row r="1275" s="13" customFormat="1" x14ac:dyDescent="0.35"/>
    <row r="1276" s="13" customFormat="1" x14ac:dyDescent="0.35"/>
    <row r="1277" s="13" customFormat="1" x14ac:dyDescent="0.35"/>
    <row r="1278" s="13" customFormat="1" x14ac:dyDescent="0.35"/>
    <row r="1279" s="13" customFormat="1" x14ac:dyDescent="0.35"/>
    <row r="1280" s="13" customFormat="1" x14ac:dyDescent="0.35"/>
    <row r="1281" s="13" customFormat="1" x14ac:dyDescent="0.35"/>
    <row r="1282" s="13" customFormat="1" x14ac:dyDescent="0.35"/>
    <row r="1283" s="13" customFormat="1" x14ac:dyDescent="0.35"/>
    <row r="1284" s="13" customFormat="1" x14ac:dyDescent="0.35"/>
    <row r="1285" s="13" customFormat="1" x14ac:dyDescent="0.35"/>
    <row r="1286" s="13" customFormat="1" x14ac:dyDescent="0.35"/>
    <row r="1287" s="13" customFormat="1" x14ac:dyDescent="0.35"/>
    <row r="1288" s="13" customFormat="1" x14ac:dyDescent="0.35"/>
    <row r="1289" s="13" customFormat="1" x14ac:dyDescent="0.35"/>
    <row r="1290" s="13" customFormat="1" x14ac:dyDescent="0.35"/>
    <row r="1291" s="13" customFormat="1" x14ac:dyDescent="0.35"/>
    <row r="1292" s="13" customFormat="1" x14ac:dyDescent="0.35"/>
    <row r="1293" s="13" customFormat="1" x14ac:dyDescent="0.35"/>
    <row r="1294" s="13" customFormat="1" x14ac:dyDescent="0.35"/>
    <row r="1295" s="13" customFormat="1" x14ac:dyDescent="0.35"/>
    <row r="1296" s="13" customFormat="1" x14ac:dyDescent="0.35"/>
    <row r="1297" s="13" customFormat="1" x14ac:dyDescent="0.35"/>
    <row r="1298" s="13" customFormat="1" x14ac:dyDescent="0.35"/>
    <row r="1299" s="13" customFormat="1" x14ac:dyDescent="0.35"/>
    <row r="1300" s="13" customFormat="1" x14ac:dyDescent="0.35"/>
    <row r="1301" s="13" customFormat="1" x14ac:dyDescent="0.35"/>
    <row r="1302" s="13" customFormat="1" x14ac:dyDescent="0.35"/>
    <row r="1303" s="13" customFormat="1" x14ac:dyDescent="0.35"/>
    <row r="1304" s="13" customFormat="1" x14ac:dyDescent="0.35"/>
    <row r="1305" s="13" customFormat="1" x14ac:dyDescent="0.35"/>
    <row r="1306" s="13" customFormat="1" x14ac:dyDescent="0.35"/>
    <row r="1307" s="13" customFormat="1" x14ac:dyDescent="0.35"/>
    <row r="1308" s="13" customFormat="1" x14ac:dyDescent="0.35"/>
    <row r="1309" s="13" customFormat="1" x14ac:dyDescent="0.35"/>
    <row r="1310" s="13" customFormat="1" x14ac:dyDescent="0.35"/>
    <row r="1311" s="13" customFormat="1" x14ac:dyDescent="0.35"/>
    <row r="1312" s="13" customFormat="1" x14ac:dyDescent="0.35"/>
    <row r="1313" s="13" customFormat="1" x14ac:dyDescent="0.35"/>
    <row r="1314" s="13" customFormat="1" x14ac:dyDescent="0.35"/>
    <row r="1315" s="13" customFormat="1" x14ac:dyDescent="0.35"/>
    <row r="1316" s="13" customFormat="1" x14ac:dyDescent="0.35"/>
    <row r="1317" s="13" customFormat="1" x14ac:dyDescent="0.35"/>
    <row r="1318" s="13" customFormat="1" x14ac:dyDescent="0.35"/>
    <row r="1319" s="13" customFormat="1" x14ac:dyDescent="0.35"/>
    <row r="1320" s="13" customFormat="1" x14ac:dyDescent="0.35"/>
    <row r="1321" s="13" customFormat="1" x14ac:dyDescent="0.35"/>
    <row r="1322" s="13" customFormat="1" x14ac:dyDescent="0.35"/>
    <row r="1323" s="13" customFormat="1" x14ac:dyDescent="0.35"/>
    <row r="1324" s="13" customFormat="1" x14ac:dyDescent="0.35"/>
    <row r="1325" s="13" customFormat="1" x14ac:dyDescent="0.35"/>
    <row r="1326" s="13" customFormat="1" x14ac:dyDescent="0.35"/>
    <row r="1327" s="13" customFormat="1" x14ac:dyDescent="0.35"/>
    <row r="1328" s="13" customFormat="1" x14ac:dyDescent="0.35"/>
    <row r="1329" s="13" customFormat="1" x14ac:dyDescent="0.35"/>
    <row r="1330" s="13" customFormat="1" x14ac:dyDescent="0.35"/>
    <row r="1331" s="13" customFormat="1" x14ac:dyDescent="0.35"/>
    <row r="1332" s="13" customFormat="1" x14ac:dyDescent="0.35"/>
    <row r="1333" s="13" customFormat="1" x14ac:dyDescent="0.35"/>
    <row r="1334" s="13" customFormat="1" x14ac:dyDescent="0.35"/>
    <row r="1335" s="13" customFormat="1" x14ac:dyDescent="0.35"/>
    <row r="1336" s="13" customFormat="1" x14ac:dyDescent="0.35"/>
    <row r="1337" s="13" customFormat="1" x14ac:dyDescent="0.35"/>
    <row r="1338" s="13" customFormat="1" x14ac:dyDescent="0.35"/>
    <row r="1339" s="13" customFormat="1" x14ac:dyDescent="0.35"/>
    <row r="1340" s="13" customFormat="1" x14ac:dyDescent="0.35"/>
    <row r="1341" s="13" customFormat="1" x14ac:dyDescent="0.35"/>
    <row r="1342" s="13" customFormat="1" x14ac:dyDescent="0.35"/>
    <row r="1343" s="13" customFormat="1" x14ac:dyDescent="0.35"/>
    <row r="1344" s="13" customFormat="1" x14ac:dyDescent="0.35"/>
    <row r="1345" s="13" customFormat="1" x14ac:dyDescent="0.35"/>
    <row r="1346" s="13" customFormat="1" x14ac:dyDescent="0.35"/>
    <row r="1347" s="13" customFormat="1" x14ac:dyDescent="0.35"/>
    <row r="1348" s="13" customFormat="1" x14ac:dyDescent="0.35"/>
    <row r="1349" s="13" customFormat="1" x14ac:dyDescent="0.35"/>
    <row r="1350" s="13" customFormat="1" x14ac:dyDescent="0.35"/>
    <row r="1351" s="13" customFormat="1" x14ac:dyDescent="0.35"/>
    <row r="1352" s="13" customFormat="1" x14ac:dyDescent="0.35"/>
    <row r="1353" s="13" customFormat="1" x14ac:dyDescent="0.35"/>
    <row r="1354" s="13" customFormat="1" x14ac:dyDescent="0.35"/>
    <row r="1355" s="13" customFormat="1" x14ac:dyDescent="0.35"/>
    <row r="1356" s="13" customFormat="1" x14ac:dyDescent="0.35"/>
    <row r="1357" s="13" customFormat="1" x14ac:dyDescent="0.35"/>
    <row r="1358" s="13" customFormat="1" x14ac:dyDescent="0.35"/>
    <row r="1359" s="13" customFormat="1" x14ac:dyDescent="0.35"/>
    <row r="1360" s="13" customFormat="1" x14ac:dyDescent="0.35"/>
    <row r="1361" s="13" customFormat="1" x14ac:dyDescent="0.35"/>
    <row r="1362" s="13" customFormat="1" x14ac:dyDescent="0.35"/>
    <row r="1363" s="13" customFormat="1" x14ac:dyDescent="0.35"/>
    <row r="1364" s="13" customFormat="1" x14ac:dyDescent="0.35"/>
    <row r="1365" s="13" customFormat="1" x14ac:dyDescent="0.35"/>
    <row r="1366" s="13" customFormat="1" x14ac:dyDescent="0.35"/>
    <row r="1367" s="13" customFormat="1" x14ac:dyDescent="0.35"/>
    <row r="1368" s="13" customFormat="1" x14ac:dyDescent="0.35"/>
    <row r="1369" s="13" customFormat="1" x14ac:dyDescent="0.35"/>
    <row r="1370" s="13" customFormat="1" x14ac:dyDescent="0.35"/>
    <row r="1371" s="13" customFormat="1" x14ac:dyDescent="0.35"/>
    <row r="1372" s="13" customFormat="1" x14ac:dyDescent="0.35"/>
    <row r="1373" s="13" customFormat="1" x14ac:dyDescent="0.35"/>
    <row r="1374" s="13" customFormat="1" x14ac:dyDescent="0.35"/>
    <row r="1375" s="13" customFormat="1" x14ac:dyDescent="0.35"/>
    <row r="1376" s="13" customFormat="1" x14ac:dyDescent="0.35"/>
    <row r="1377" s="13" customFormat="1" x14ac:dyDescent="0.35"/>
    <row r="1378" s="13" customFormat="1" x14ac:dyDescent="0.35"/>
    <row r="1379" s="13" customFormat="1" x14ac:dyDescent="0.35"/>
    <row r="1380" s="13" customFormat="1" x14ac:dyDescent="0.35"/>
    <row r="1381" s="13" customFormat="1" x14ac:dyDescent="0.35"/>
    <row r="1382" s="13" customFormat="1" x14ac:dyDescent="0.35"/>
    <row r="1383" s="13" customFormat="1" x14ac:dyDescent="0.35"/>
    <row r="1384" s="13" customFormat="1" x14ac:dyDescent="0.35"/>
    <row r="1385" s="13" customFormat="1" x14ac:dyDescent="0.35"/>
    <row r="1386" s="13" customFormat="1" x14ac:dyDescent="0.35"/>
    <row r="1387" s="13" customFormat="1" x14ac:dyDescent="0.35"/>
    <row r="1388" s="13" customFormat="1" x14ac:dyDescent="0.35"/>
    <row r="1389" s="13" customFormat="1" x14ac:dyDescent="0.35"/>
    <row r="1390" s="13" customFormat="1" x14ac:dyDescent="0.35"/>
    <row r="1391" s="13" customFormat="1" x14ac:dyDescent="0.35"/>
    <row r="1392" s="13" customFormat="1" x14ac:dyDescent="0.35"/>
    <row r="1393" s="13" customFormat="1" x14ac:dyDescent="0.35"/>
    <row r="1394" s="13" customFormat="1" x14ac:dyDescent="0.35"/>
    <row r="1395" s="13" customFormat="1" x14ac:dyDescent="0.35"/>
    <row r="1396" s="13" customFormat="1" x14ac:dyDescent="0.35"/>
    <row r="1397" s="13" customFormat="1" x14ac:dyDescent="0.35"/>
    <row r="1398" s="13" customFormat="1" x14ac:dyDescent="0.35"/>
    <row r="1399" s="13" customFormat="1" x14ac:dyDescent="0.35"/>
    <row r="1400" s="13" customFormat="1" x14ac:dyDescent="0.35"/>
    <row r="1401" s="13" customFormat="1" x14ac:dyDescent="0.35"/>
    <row r="1402" s="13" customFormat="1" x14ac:dyDescent="0.35"/>
    <row r="1403" s="13" customFormat="1" x14ac:dyDescent="0.35"/>
    <row r="1404" s="13" customFormat="1" x14ac:dyDescent="0.35"/>
    <row r="1405" s="13" customFormat="1" x14ac:dyDescent="0.35"/>
    <row r="1406" s="13" customFormat="1" x14ac:dyDescent="0.35"/>
    <row r="1407" s="13" customFormat="1" x14ac:dyDescent="0.35"/>
    <row r="1408" s="13" customFormat="1" x14ac:dyDescent="0.35"/>
    <row r="1409" s="13" customFormat="1" x14ac:dyDescent="0.35"/>
    <row r="1410" s="13" customFormat="1" x14ac:dyDescent="0.35"/>
    <row r="1411" s="13" customFormat="1" x14ac:dyDescent="0.35"/>
    <row r="1412" s="13" customFormat="1" x14ac:dyDescent="0.35"/>
    <row r="1413" s="13" customFormat="1" x14ac:dyDescent="0.35"/>
    <row r="1414" s="13" customFormat="1" x14ac:dyDescent="0.35"/>
    <row r="1415" s="13" customFormat="1" x14ac:dyDescent="0.35"/>
    <row r="1416" s="13" customFormat="1" x14ac:dyDescent="0.35"/>
    <row r="1417" s="13" customFormat="1" x14ac:dyDescent="0.35"/>
    <row r="1418" s="13" customFormat="1" x14ac:dyDescent="0.35"/>
    <row r="1419" s="13" customFormat="1" x14ac:dyDescent="0.35"/>
    <row r="1420" s="13" customFormat="1" x14ac:dyDescent="0.35"/>
    <row r="1421" s="13" customFormat="1" x14ac:dyDescent="0.35"/>
    <row r="1422" s="13" customFormat="1" x14ac:dyDescent="0.35"/>
    <row r="1423" s="13" customFormat="1" x14ac:dyDescent="0.35"/>
    <row r="1424" s="13" customFormat="1" x14ac:dyDescent="0.35"/>
    <row r="1425" s="13" customFormat="1" x14ac:dyDescent="0.35"/>
    <row r="1426" s="13" customFormat="1" x14ac:dyDescent="0.35"/>
    <row r="1427" s="13" customFormat="1" x14ac:dyDescent="0.35"/>
    <row r="1428" s="13" customFormat="1" x14ac:dyDescent="0.35"/>
    <row r="1429" s="13" customFormat="1" x14ac:dyDescent="0.35"/>
    <row r="1430" s="13" customFormat="1" x14ac:dyDescent="0.35"/>
    <row r="1431" s="13" customFormat="1" x14ac:dyDescent="0.35"/>
    <row r="1432" s="13" customFormat="1" x14ac:dyDescent="0.35"/>
    <row r="1433" s="13" customFormat="1" x14ac:dyDescent="0.35"/>
    <row r="1434" s="13" customFormat="1" x14ac:dyDescent="0.35"/>
    <row r="1435" s="13" customFormat="1" x14ac:dyDescent="0.35"/>
    <row r="1436" s="13" customFormat="1" x14ac:dyDescent="0.35"/>
    <row r="1437" s="13" customFormat="1" x14ac:dyDescent="0.35"/>
    <row r="1438" s="13" customFormat="1" x14ac:dyDescent="0.35"/>
    <row r="1439" s="13" customFormat="1" x14ac:dyDescent="0.35"/>
    <row r="1440" s="13" customFormat="1" x14ac:dyDescent="0.35"/>
    <row r="1441" s="13" customFormat="1" x14ac:dyDescent="0.35"/>
    <row r="1442" s="13" customFormat="1" x14ac:dyDescent="0.35"/>
    <row r="1443" s="13" customFormat="1" x14ac:dyDescent="0.35"/>
    <row r="1444" s="13" customFormat="1" x14ac:dyDescent="0.35"/>
    <row r="1445" s="13" customFormat="1" x14ac:dyDescent="0.35"/>
    <row r="1446" s="13" customFormat="1" x14ac:dyDescent="0.35"/>
    <row r="1447" s="13" customFormat="1" x14ac:dyDescent="0.35"/>
    <row r="1448" s="13" customFormat="1" x14ac:dyDescent="0.35"/>
    <row r="1449" s="13" customFormat="1" x14ac:dyDescent="0.35"/>
    <row r="1450" s="13" customFormat="1" x14ac:dyDescent="0.35"/>
    <row r="1451" s="13" customFormat="1" x14ac:dyDescent="0.35"/>
    <row r="1452" s="13" customFormat="1" x14ac:dyDescent="0.35"/>
    <row r="1453" s="13" customFormat="1" x14ac:dyDescent="0.35"/>
    <row r="1454" s="13" customFormat="1" x14ac:dyDescent="0.35"/>
    <row r="1455" s="13" customFormat="1" x14ac:dyDescent="0.35"/>
    <row r="1456" s="13" customFormat="1" x14ac:dyDescent="0.35"/>
    <row r="1457" s="13" customFormat="1" x14ac:dyDescent="0.35"/>
    <row r="1458" s="13" customFormat="1" x14ac:dyDescent="0.35"/>
    <row r="1459" s="13" customFormat="1" x14ac:dyDescent="0.35"/>
    <row r="1460" s="13" customFormat="1" x14ac:dyDescent="0.35"/>
    <row r="1461" s="13" customFormat="1" x14ac:dyDescent="0.35"/>
    <row r="1462" s="13" customFormat="1" x14ac:dyDescent="0.35"/>
    <row r="1463" s="13" customFormat="1" x14ac:dyDescent="0.35"/>
    <row r="1464" s="13" customFormat="1" x14ac:dyDescent="0.35"/>
    <row r="1465" s="13" customFormat="1" x14ac:dyDescent="0.35"/>
    <row r="1466" s="13" customFormat="1" x14ac:dyDescent="0.35"/>
    <row r="1467" s="13" customFormat="1" x14ac:dyDescent="0.35"/>
    <row r="1468" s="13" customFormat="1" x14ac:dyDescent="0.35"/>
    <row r="1469" s="13" customFormat="1" x14ac:dyDescent="0.35"/>
    <row r="1470" s="13" customFormat="1" x14ac:dyDescent="0.35"/>
    <row r="1471" s="13" customFormat="1" x14ac:dyDescent="0.35"/>
    <row r="1472" s="13" customFormat="1" x14ac:dyDescent="0.35"/>
    <row r="1473" s="13" customFormat="1" x14ac:dyDescent="0.35"/>
    <row r="1474" s="13" customFormat="1" x14ac:dyDescent="0.35"/>
    <row r="1475" s="13" customFormat="1" x14ac:dyDescent="0.35"/>
    <row r="1476" s="13" customFormat="1" x14ac:dyDescent="0.35"/>
    <row r="1477" s="13" customFormat="1" x14ac:dyDescent="0.35"/>
    <row r="1478" s="13" customFormat="1" x14ac:dyDescent="0.35"/>
    <row r="1479" s="13" customFormat="1" x14ac:dyDescent="0.35"/>
    <row r="1480" s="13" customFormat="1" x14ac:dyDescent="0.35"/>
    <row r="1481" s="13" customFormat="1" x14ac:dyDescent="0.35"/>
    <row r="1482" s="13" customFormat="1" x14ac:dyDescent="0.35"/>
    <row r="1483" s="13" customFormat="1" x14ac:dyDescent="0.35"/>
    <row r="1484" s="13" customFormat="1" x14ac:dyDescent="0.35"/>
    <row r="1485" s="13" customFormat="1" x14ac:dyDescent="0.35"/>
    <row r="1486" s="13" customFormat="1" x14ac:dyDescent="0.35"/>
    <row r="1487" s="13" customFormat="1" x14ac:dyDescent="0.35"/>
    <row r="1488" s="13" customFormat="1" x14ac:dyDescent="0.35"/>
    <row r="1489" s="13" customFormat="1" x14ac:dyDescent="0.35"/>
    <row r="1490" s="13" customFormat="1" x14ac:dyDescent="0.35"/>
    <row r="1491" s="13" customFormat="1" x14ac:dyDescent="0.35"/>
    <row r="1492" s="13" customFormat="1" x14ac:dyDescent="0.35"/>
    <row r="1493" s="13" customFormat="1" x14ac:dyDescent="0.35"/>
    <row r="1494" s="13" customFormat="1" x14ac:dyDescent="0.35"/>
    <row r="1495" s="13" customFormat="1" x14ac:dyDescent="0.35"/>
    <row r="1496" s="13" customFormat="1" x14ac:dyDescent="0.35"/>
    <row r="1497" s="13" customFormat="1" x14ac:dyDescent="0.35"/>
    <row r="1498" s="13" customFormat="1" x14ac:dyDescent="0.35"/>
    <row r="1499" s="13" customFormat="1" x14ac:dyDescent="0.35"/>
    <row r="1500" s="13" customFormat="1" x14ac:dyDescent="0.35"/>
    <row r="1501" s="13" customFormat="1" x14ac:dyDescent="0.35"/>
    <row r="1502" s="13" customFormat="1" x14ac:dyDescent="0.35"/>
    <row r="1503" s="13" customFormat="1" x14ac:dyDescent="0.35"/>
    <row r="1504" s="13" customFormat="1" x14ac:dyDescent="0.35"/>
    <row r="1505" s="13" customFormat="1" x14ac:dyDescent="0.35"/>
    <row r="1506" s="13" customFormat="1" x14ac:dyDescent="0.35"/>
    <row r="1507" s="13" customFormat="1" x14ac:dyDescent="0.35"/>
    <row r="1508" s="13" customFormat="1" x14ac:dyDescent="0.35"/>
    <row r="1509" s="13" customFormat="1" x14ac:dyDescent="0.35"/>
    <row r="1510" s="13" customFormat="1" x14ac:dyDescent="0.35"/>
    <row r="1511" s="13" customFormat="1" x14ac:dyDescent="0.35"/>
    <row r="1512" s="13" customFormat="1" x14ac:dyDescent="0.35"/>
    <row r="1513" s="13" customFormat="1" x14ac:dyDescent="0.35"/>
    <row r="1514" s="13" customFormat="1" x14ac:dyDescent="0.35"/>
    <row r="1515" s="13" customFormat="1" x14ac:dyDescent="0.35"/>
    <row r="1516" s="13" customFormat="1" x14ac:dyDescent="0.35"/>
    <row r="1517" s="13" customFormat="1" x14ac:dyDescent="0.35"/>
    <row r="1518" s="13" customFormat="1" x14ac:dyDescent="0.35"/>
    <row r="1519" s="13" customFormat="1" x14ac:dyDescent="0.35"/>
    <row r="1520" s="13" customFormat="1" x14ac:dyDescent="0.35"/>
    <row r="1521" s="13" customFormat="1" x14ac:dyDescent="0.35"/>
    <row r="1522" s="13" customFormat="1" x14ac:dyDescent="0.35"/>
    <row r="1523" s="13" customFormat="1" x14ac:dyDescent="0.35"/>
    <row r="1524" s="13" customFormat="1" x14ac:dyDescent="0.35"/>
    <row r="1525" s="13" customFormat="1" x14ac:dyDescent="0.35"/>
    <row r="1526" s="13" customFormat="1" x14ac:dyDescent="0.35"/>
    <row r="1527" s="13" customFormat="1" x14ac:dyDescent="0.35"/>
    <row r="1528" s="13" customFormat="1" x14ac:dyDescent="0.35"/>
    <row r="1529" s="13" customFormat="1" x14ac:dyDescent="0.35"/>
    <row r="1530" s="13" customFormat="1" x14ac:dyDescent="0.35"/>
    <row r="1531" s="13" customFormat="1" x14ac:dyDescent="0.35"/>
    <row r="1532" s="13" customFormat="1" x14ac:dyDescent="0.35"/>
    <row r="1533" s="13" customFormat="1" x14ac:dyDescent="0.35"/>
    <row r="1534" s="13" customFormat="1" x14ac:dyDescent="0.35"/>
    <row r="1535" s="13" customFormat="1" x14ac:dyDescent="0.35"/>
    <row r="1536" s="13" customFormat="1" x14ac:dyDescent="0.35"/>
    <row r="1537" s="13" customFormat="1" x14ac:dyDescent="0.35"/>
    <row r="1538" s="13" customFormat="1" x14ac:dyDescent="0.35"/>
    <row r="1539" s="13" customFormat="1" x14ac:dyDescent="0.35"/>
    <row r="1540" s="13" customFormat="1" x14ac:dyDescent="0.35"/>
    <row r="1541" s="13" customFormat="1" x14ac:dyDescent="0.35"/>
    <row r="1542" s="13" customFormat="1" x14ac:dyDescent="0.35"/>
    <row r="1543" s="13" customFormat="1" x14ac:dyDescent="0.35"/>
    <row r="1544" s="13" customFormat="1" x14ac:dyDescent="0.35"/>
    <row r="1545" s="13" customFormat="1" x14ac:dyDescent="0.35"/>
    <row r="1546" s="13" customFormat="1" x14ac:dyDescent="0.35"/>
    <row r="1547" s="13" customFormat="1" x14ac:dyDescent="0.35"/>
    <row r="1548" s="13" customFormat="1" x14ac:dyDescent="0.35"/>
    <row r="1549" s="13" customFormat="1" x14ac:dyDescent="0.35"/>
    <row r="1550" s="13" customFormat="1" x14ac:dyDescent="0.35"/>
    <row r="1551" s="13" customFormat="1" x14ac:dyDescent="0.35"/>
    <row r="1552" s="13" customFormat="1" x14ac:dyDescent="0.35"/>
    <row r="1553" s="13" customFormat="1" x14ac:dyDescent="0.35"/>
    <row r="1554" s="13" customFormat="1" x14ac:dyDescent="0.35"/>
    <row r="1555" s="13" customFormat="1" x14ac:dyDescent="0.35"/>
    <row r="1556" s="13" customFormat="1" x14ac:dyDescent="0.35"/>
    <row r="1557" s="13" customFormat="1" x14ac:dyDescent="0.35"/>
    <row r="1558" s="13" customFormat="1" x14ac:dyDescent="0.35"/>
    <row r="1559" s="13" customFormat="1" x14ac:dyDescent="0.35"/>
    <row r="1560" s="13" customFormat="1" x14ac:dyDescent="0.35"/>
    <row r="1561" s="13" customFormat="1" x14ac:dyDescent="0.35"/>
    <row r="1562" s="13" customFormat="1" x14ac:dyDescent="0.35"/>
    <row r="1563" s="13" customFormat="1" x14ac:dyDescent="0.35"/>
    <row r="1564" s="13" customFormat="1" x14ac:dyDescent="0.35"/>
    <row r="1565" s="13" customFormat="1" x14ac:dyDescent="0.35"/>
    <row r="1566" s="13" customFormat="1" x14ac:dyDescent="0.35"/>
    <row r="1567" s="13" customFormat="1" x14ac:dyDescent="0.35"/>
    <row r="1568" s="13" customFormat="1" x14ac:dyDescent="0.35"/>
    <row r="1569" s="13" customFormat="1" x14ac:dyDescent="0.35"/>
    <row r="1570" s="13" customFormat="1" x14ac:dyDescent="0.35"/>
    <row r="1571" s="13" customFormat="1" x14ac:dyDescent="0.35"/>
    <row r="1572" s="13" customFormat="1" x14ac:dyDescent="0.35"/>
    <row r="1573" s="13" customFormat="1" x14ac:dyDescent="0.35"/>
    <row r="1574" s="13" customFormat="1" x14ac:dyDescent="0.35"/>
    <row r="1575" s="13" customFormat="1" x14ac:dyDescent="0.35"/>
    <row r="1576" s="13" customFormat="1" x14ac:dyDescent="0.35"/>
    <row r="1577" s="13" customFormat="1" x14ac:dyDescent="0.35"/>
    <row r="1578" s="13" customFormat="1" x14ac:dyDescent="0.35"/>
    <row r="1579" s="13" customFormat="1" x14ac:dyDescent="0.35"/>
    <row r="1580" s="13" customFormat="1" x14ac:dyDescent="0.35"/>
    <row r="1581" s="13" customFormat="1" x14ac:dyDescent="0.35"/>
    <row r="1582" s="13" customFormat="1" x14ac:dyDescent="0.35"/>
    <row r="1583" s="13" customFormat="1" x14ac:dyDescent="0.35"/>
    <row r="1584" s="13" customFormat="1" x14ac:dyDescent="0.35"/>
    <row r="1585" s="13" customFormat="1" x14ac:dyDescent="0.35"/>
    <row r="1586" s="13" customFormat="1" x14ac:dyDescent="0.35"/>
    <row r="1587" s="13" customFormat="1" x14ac:dyDescent="0.35"/>
    <row r="1588" s="13" customFormat="1" x14ac:dyDescent="0.35"/>
    <row r="1589" s="13" customFormat="1" x14ac:dyDescent="0.35"/>
    <row r="1590" s="13" customFormat="1" x14ac:dyDescent="0.35"/>
    <row r="1591" s="13" customFormat="1" x14ac:dyDescent="0.35"/>
    <row r="1592" s="13" customFormat="1" x14ac:dyDescent="0.35"/>
    <row r="1593" s="13" customFormat="1" x14ac:dyDescent="0.35"/>
    <row r="1594" s="13" customFormat="1" x14ac:dyDescent="0.35"/>
    <row r="1595" s="13" customFormat="1" x14ac:dyDescent="0.35"/>
    <row r="1596" s="13" customFormat="1" x14ac:dyDescent="0.35"/>
    <row r="1597" s="13" customFormat="1" x14ac:dyDescent="0.35"/>
    <row r="1598" s="13" customFormat="1" x14ac:dyDescent="0.35"/>
    <row r="1599" s="13" customFormat="1" x14ac:dyDescent="0.35"/>
    <row r="1600" s="13" customFormat="1" x14ac:dyDescent="0.35"/>
    <row r="1601" s="13" customFormat="1" x14ac:dyDescent="0.35"/>
    <row r="1602" s="13" customFormat="1" x14ac:dyDescent="0.35"/>
    <row r="1603" s="13" customFormat="1" x14ac:dyDescent="0.35"/>
    <row r="1604" s="13" customFormat="1" x14ac:dyDescent="0.35"/>
    <row r="1605" s="13" customFormat="1" x14ac:dyDescent="0.35"/>
    <row r="1606" s="13" customFormat="1" x14ac:dyDescent="0.35"/>
    <row r="1607" s="13" customFormat="1" x14ac:dyDescent="0.35"/>
    <row r="1608" s="13" customFormat="1" x14ac:dyDescent="0.35"/>
    <row r="1609" s="13" customFormat="1" x14ac:dyDescent="0.35"/>
    <row r="1610" s="13" customFormat="1" x14ac:dyDescent="0.35"/>
    <row r="1611" s="13" customFormat="1" x14ac:dyDescent="0.35"/>
    <row r="1612" s="13" customFormat="1" x14ac:dyDescent="0.35"/>
    <row r="1613" s="13" customFormat="1" x14ac:dyDescent="0.35"/>
    <row r="1614" s="13" customFormat="1" x14ac:dyDescent="0.35"/>
    <row r="1615" s="13" customFormat="1" x14ac:dyDescent="0.35"/>
    <row r="1616" s="13" customFormat="1" x14ac:dyDescent="0.35"/>
    <row r="1617" s="13" customFormat="1" x14ac:dyDescent="0.35"/>
    <row r="1618" s="13" customFormat="1" x14ac:dyDescent="0.35"/>
    <row r="1619" s="13" customFormat="1" x14ac:dyDescent="0.35"/>
    <row r="1620" s="13" customFormat="1" x14ac:dyDescent="0.35"/>
    <row r="1621" s="13" customFormat="1" x14ac:dyDescent="0.35"/>
    <row r="1622" s="13" customFormat="1" x14ac:dyDescent="0.35"/>
    <row r="1623" s="13" customFormat="1" x14ac:dyDescent="0.35"/>
    <row r="1624" s="13" customFormat="1" x14ac:dyDescent="0.35"/>
    <row r="1625" s="13" customFormat="1" x14ac:dyDescent="0.35"/>
    <row r="1626" s="13" customFormat="1" x14ac:dyDescent="0.35"/>
    <row r="1627" s="13" customFormat="1" x14ac:dyDescent="0.35"/>
    <row r="1628" s="13" customFormat="1" x14ac:dyDescent="0.35"/>
    <row r="1629" s="13" customFormat="1" x14ac:dyDescent="0.35"/>
    <row r="1630" s="13" customFormat="1" x14ac:dyDescent="0.35"/>
    <row r="1631" s="13" customFormat="1" x14ac:dyDescent="0.35"/>
    <row r="1632" s="13" customFormat="1" x14ac:dyDescent="0.35"/>
    <row r="1633" s="13" customFormat="1" x14ac:dyDescent="0.35"/>
    <row r="1634" s="13" customFormat="1" x14ac:dyDescent="0.35"/>
    <row r="1635" s="13" customFormat="1" x14ac:dyDescent="0.35"/>
    <row r="1636" s="13" customFormat="1" x14ac:dyDescent="0.35"/>
    <row r="1637" s="13" customFormat="1" x14ac:dyDescent="0.35"/>
    <row r="1638" s="13" customFormat="1" x14ac:dyDescent="0.35"/>
    <row r="1639" s="13" customFormat="1" x14ac:dyDescent="0.35"/>
    <row r="1640" s="13" customFormat="1" x14ac:dyDescent="0.35"/>
    <row r="1641" s="13" customFormat="1" x14ac:dyDescent="0.35"/>
    <row r="1642" s="13" customFormat="1" x14ac:dyDescent="0.35"/>
    <row r="1643" s="13" customFormat="1" x14ac:dyDescent="0.35"/>
    <row r="1644" s="13" customFormat="1" x14ac:dyDescent="0.35"/>
    <row r="1645" s="13" customFormat="1" x14ac:dyDescent="0.35"/>
    <row r="1646" s="13" customFormat="1" x14ac:dyDescent="0.35"/>
    <row r="1647" s="13" customFormat="1" x14ac:dyDescent="0.35"/>
    <row r="1648" s="13" customFormat="1" x14ac:dyDescent="0.35"/>
    <row r="1649" s="13" customFormat="1" x14ac:dyDescent="0.35"/>
    <row r="1650" s="13" customFormat="1" x14ac:dyDescent="0.35"/>
    <row r="1651" s="13" customFormat="1" x14ac:dyDescent="0.35"/>
    <row r="1652" s="13" customFormat="1" x14ac:dyDescent="0.35"/>
    <row r="1653" s="13" customFormat="1" x14ac:dyDescent="0.35"/>
    <row r="1654" s="13" customFormat="1" x14ac:dyDescent="0.35"/>
    <row r="1655" s="13" customFormat="1" x14ac:dyDescent="0.35"/>
    <row r="1656" s="13" customFormat="1" x14ac:dyDescent="0.35"/>
    <row r="1657" s="13" customFormat="1" x14ac:dyDescent="0.35"/>
    <row r="1658" s="13" customFormat="1" x14ac:dyDescent="0.35"/>
    <row r="1659" s="13" customFormat="1" x14ac:dyDescent="0.35"/>
    <row r="1660" s="13" customFormat="1" x14ac:dyDescent="0.35"/>
    <row r="1661" s="13" customFormat="1" x14ac:dyDescent="0.35"/>
    <row r="1662" s="13" customFormat="1" x14ac:dyDescent="0.35"/>
    <row r="1663" s="13" customFormat="1" x14ac:dyDescent="0.35"/>
    <row r="1664" s="13" customFormat="1" x14ac:dyDescent="0.35"/>
    <row r="1665" s="13" customFormat="1" x14ac:dyDescent="0.35"/>
    <row r="1666" s="13" customFormat="1" x14ac:dyDescent="0.35"/>
    <row r="1667" s="13" customFormat="1" x14ac:dyDescent="0.35"/>
    <row r="1668" s="13" customFormat="1" x14ac:dyDescent="0.35"/>
    <row r="1669" s="13" customFormat="1" x14ac:dyDescent="0.35"/>
    <row r="1670" s="13" customFormat="1" x14ac:dyDescent="0.35"/>
    <row r="1671" s="13" customFormat="1" x14ac:dyDescent="0.35"/>
    <row r="1672" s="13" customFormat="1" x14ac:dyDescent="0.35"/>
    <row r="1673" s="13" customFormat="1" x14ac:dyDescent="0.35"/>
    <row r="1674" s="13" customFormat="1" x14ac:dyDescent="0.35"/>
    <row r="1675" s="13" customFormat="1" x14ac:dyDescent="0.35"/>
    <row r="1676" s="13" customFormat="1" x14ac:dyDescent="0.35"/>
    <row r="1677" s="13" customFormat="1" x14ac:dyDescent="0.35"/>
    <row r="1678" s="13" customFormat="1" x14ac:dyDescent="0.35"/>
    <row r="1679" s="13" customFormat="1" x14ac:dyDescent="0.35"/>
    <row r="1680" s="13" customFormat="1" x14ac:dyDescent="0.35"/>
    <row r="1681" s="13" customFormat="1" x14ac:dyDescent="0.35"/>
    <row r="1682" s="13" customFormat="1" x14ac:dyDescent="0.35"/>
    <row r="1683" s="13" customFormat="1" x14ac:dyDescent="0.35"/>
    <row r="1684" s="13" customFormat="1" x14ac:dyDescent="0.35"/>
    <row r="1685" s="13" customFormat="1" x14ac:dyDescent="0.35"/>
    <row r="1686" s="13" customFormat="1" x14ac:dyDescent="0.35"/>
    <row r="1687" s="13" customFormat="1" x14ac:dyDescent="0.35"/>
    <row r="1688" s="13" customFormat="1" x14ac:dyDescent="0.35"/>
    <row r="1689" s="13" customFormat="1" x14ac:dyDescent="0.35"/>
    <row r="1690" s="13" customFormat="1" x14ac:dyDescent="0.35"/>
    <row r="1691" s="13" customFormat="1" x14ac:dyDescent="0.35"/>
    <row r="1692" s="13" customFormat="1" x14ac:dyDescent="0.35"/>
    <row r="1693" s="13" customFormat="1" x14ac:dyDescent="0.35"/>
    <row r="1694" s="13" customFormat="1" x14ac:dyDescent="0.35"/>
    <row r="1695" s="13" customFormat="1" x14ac:dyDescent="0.35"/>
    <row r="1696" s="13" customFormat="1" x14ac:dyDescent="0.35"/>
    <row r="1697" s="13" customFormat="1" x14ac:dyDescent="0.35"/>
    <row r="1698" s="13" customFormat="1" x14ac:dyDescent="0.35"/>
    <row r="1699" s="13" customFormat="1" x14ac:dyDescent="0.35"/>
    <row r="1700" s="13" customFormat="1" x14ac:dyDescent="0.35"/>
    <row r="1701" s="13" customFormat="1" x14ac:dyDescent="0.35"/>
    <row r="1702" s="13" customFormat="1" x14ac:dyDescent="0.35"/>
    <row r="1703" s="13" customFormat="1" x14ac:dyDescent="0.35"/>
    <row r="1704" s="13" customFormat="1" x14ac:dyDescent="0.35"/>
    <row r="1705" s="13" customFormat="1" x14ac:dyDescent="0.35"/>
    <row r="1706" s="13" customFormat="1" x14ac:dyDescent="0.35"/>
    <row r="1707" s="13" customFormat="1" x14ac:dyDescent="0.35"/>
    <row r="1708" s="13" customFormat="1" x14ac:dyDescent="0.35"/>
    <row r="1709" s="13" customFormat="1" x14ac:dyDescent="0.35"/>
    <row r="1710" s="13" customFormat="1" x14ac:dyDescent="0.35"/>
    <row r="1711" s="13" customFormat="1" x14ac:dyDescent="0.35"/>
    <row r="1712" s="13" customFormat="1" x14ac:dyDescent="0.35"/>
    <row r="1713" s="13" customFormat="1" x14ac:dyDescent="0.35"/>
    <row r="1714" s="13" customFormat="1" x14ac:dyDescent="0.35"/>
    <row r="1715" s="13" customFormat="1" x14ac:dyDescent="0.35"/>
    <row r="1716" s="13" customFormat="1" x14ac:dyDescent="0.35"/>
    <row r="1717" s="13" customFormat="1" x14ac:dyDescent="0.35"/>
    <row r="1718" s="13" customFormat="1" x14ac:dyDescent="0.35"/>
    <row r="1719" s="13" customFormat="1" x14ac:dyDescent="0.35"/>
    <row r="1720" s="13" customFormat="1" x14ac:dyDescent="0.35"/>
    <row r="1721" s="13" customFormat="1" x14ac:dyDescent="0.35"/>
    <row r="1722" s="13" customFormat="1" x14ac:dyDescent="0.35"/>
    <row r="1723" s="13" customFormat="1" x14ac:dyDescent="0.35"/>
    <row r="1724" s="13" customFormat="1" x14ac:dyDescent="0.35"/>
    <row r="1725" s="13" customFormat="1" x14ac:dyDescent="0.35"/>
    <row r="1726" s="13" customFormat="1" x14ac:dyDescent="0.35"/>
    <row r="1727" s="13" customFormat="1" x14ac:dyDescent="0.35"/>
    <row r="1728" s="13" customFormat="1" x14ac:dyDescent="0.35"/>
    <row r="1729" s="13" customFormat="1" x14ac:dyDescent="0.35"/>
    <row r="1730" s="13" customFormat="1" x14ac:dyDescent="0.35"/>
    <row r="1731" s="13" customFormat="1" x14ac:dyDescent="0.35"/>
    <row r="1732" s="13" customFormat="1" x14ac:dyDescent="0.35"/>
    <row r="1733" s="13" customFormat="1" x14ac:dyDescent="0.35"/>
    <row r="1734" s="13" customFormat="1" x14ac:dyDescent="0.35"/>
    <row r="1735" s="13" customFormat="1" x14ac:dyDescent="0.35"/>
    <row r="1736" s="13" customFormat="1" x14ac:dyDescent="0.35"/>
    <row r="1737" s="13" customFormat="1" x14ac:dyDescent="0.35"/>
    <row r="1738" s="13" customFormat="1" x14ac:dyDescent="0.35"/>
    <row r="1739" s="13" customFormat="1" x14ac:dyDescent="0.35"/>
    <row r="1740" s="13" customFormat="1" x14ac:dyDescent="0.35"/>
    <row r="1741" s="13" customFormat="1" x14ac:dyDescent="0.35"/>
    <row r="1742" s="13" customFormat="1" x14ac:dyDescent="0.35"/>
    <row r="1743" s="13" customFormat="1" x14ac:dyDescent="0.35"/>
    <row r="1744" s="13" customFormat="1" x14ac:dyDescent="0.35"/>
    <row r="1745" s="13" customFormat="1" x14ac:dyDescent="0.35"/>
    <row r="1746" s="13" customFormat="1" x14ac:dyDescent="0.35"/>
    <row r="1747" s="13" customFormat="1" x14ac:dyDescent="0.35"/>
    <row r="1748" s="13" customFormat="1" x14ac:dyDescent="0.35"/>
    <row r="1749" s="13" customFormat="1" x14ac:dyDescent="0.35"/>
    <row r="1750" s="13" customFormat="1" x14ac:dyDescent="0.35"/>
    <row r="1751" s="13" customFormat="1" x14ac:dyDescent="0.35"/>
    <row r="1752" s="13" customFormat="1" x14ac:dyDescent="0.35"/>
    <row r="1753" s="13" customFormat="1" x14ac:dyDescent="0.35"/>
    <row r="1754" s="13" customFormat="1" x14ac:dyDescent="0.35"/>
    <row r="1755" s="13" customFormat="1" x14ac:dyDescent="0.35"/>
    <row r="1756" s="13" customFormat="1" x14ac:dyDescent="0.35"/>
    <row r="1757" s="13" customFormat="1" x14ac:dyDescent="0.35"/>
    <row r="1758" s="13" customFormat="1" x14ac:dyDescent="0.35"/>
    <row r="1759" s="13" customFormat="1" x14ac:dyDescent="0.35"/>
    <row r="1760" s="13" customFormat="1" x14ac:dyDescent="0.35"/>
    <row r="1761" s="13" customFormat="1" x14ac:dyDescent="0.35"/>
    <row r="1762" s="13" customFormat="1" x14ac:dyDescent="0.35"/>
    <row r="1763" s="13" customFormat="1" x14ac:dyDescent="0.35"/>
    <row r="1764" s="13" customFormat="1" x14ac:dyDescent="0.35"/>
    <row r="1765" s="13" customFormat="1" x14ac:dyDescent="0.35"/>
    <row r="1766" s="13" customFormat="1" x14ac:dyDescent="0.35"/>
    <row r="1767" s="13" customFormat="1" x14ac:dyDescent="0.35"/>
    <row r="1768" s="13" customFormat="1" x14ac:dyDescent="0.35"/>
    <row r="1769" s="13" customFormat="1" x14ac:dyDescent="0.35"/>
    <row r="1770" s="13" customFormat="1" x14ac:dyDescent="0.35"/>
    <row r="1771" s="13" customFormat="1" x14ac:dyDescent="0.35"/>
    <row r="1772" s="13" customFormat="1" x14ac:dyDescent="0.35"/>
    <row r="1773" s="13" customFormat="1" x14ac:dyDescent="0.35"/>
    <row r="1774" s="13" customFormat="1" x14ac:dyDescent="0.35"/>
    <row r="1775" s="13" customFormat="1" x14ac:dyDescent="0.35"/>
    <row r="1776" s="13" customFormat="1" x14ac:dyDescent="0.35"/>
    <row r="1777" s="13" customFormat="1" x14ac:dyDescent="0.35"/>
    <row r="1778" s="13" customFormat="1" x14ac:dyDescent="0.35"/>
    <row r="1779" s="13" customFormat="1" x14ac:dyDescent="0.35"/>
    <row r="1780" s="13" customFormat="1" x14ac:dyDescent="0.35"/>
    <row r="1781" s="13" customFormat="1" x14ac:dyDescent="0.35"/>
    <row r="1782" s="13" customFormat="1" x14ac:dyDescent="0.35"/>
    <row r="1783" s="13" customFormat="1" x14ac:dyDescent="0.35"/>
    <row r="1784" s="13" customFormat="1" x14ac:dyDescent="0.35"/>
    <row r="1785" s="13" customFormat="1" x14ac:dyDescent="0.35"/>
    <row r="1786" s="13" customFormat="1" x14ac:dyDescent="0.35"/>
    <row r="1787" s="13" customFormat="1" x14ac:dyDescent="0.35"/>
    <row r="1788" s="13" customFormat="1" x14ac:dyDescent="0.35"/>
    <row r="1789" s="13" customFormat="1" x14ac:dyDescent="0.35"/>
    <row r="1790" s="13" customFormat="1" x14ac:dyDescent="0.35"/>
    <row r="1791" s="13" customFormat="1" x14ac:dyDescent="0.35"/>
    <row r="1792" s="13" customFormat="1" x14ac:dyDescent="0.35"/>
    <row r="1793" s="13" customFormat="1" x14ac:dyDescent="0.35"/>
    <row r="1794" s="13" customFormat="1" x14ac:dyDescent="0.35"/>
    <row r="1795" s="13" customFormat="1" x14ac:dyDescent="0.35"/>
    <row r="1796" s="13" customFormat="1" x14ac:dyDescent="0.35"/>
    <row r="1797" s="13" customFormat="1" x14ac:dyDescent="0.35"/>
    <row r="1798" s="13" customFormat="1" x14ac:dyDescent="0.35"/>
    <row r="1799" s="13" customFormat="1" x14ac:dyDescent="0.35"/>
    <row r="1800" s="13" customFormat="1" x14ac:dyDescent="0.35"/>
    <row r="1801" s="13" customFormat="1" x14ac:dyDescent="0.35"/>
    <row r="1802" s="13" customFormat="1" x14ac:dyDescent="0.35"/>
    <row r="1803" s="13" customFormat="1" x14ac:dyDescent="0.35"/>
    <row r="1804" s="13" customFormat="1" x14ac:dyDescent="0.35"/>
    <row r="1805" s="13" customFormat="1" x14ac:dyDescent="0.35"/>
    <row r="1806" s="13" customFormat="1" x14ac:dyDescent="0.35"/>
    <row r="1807" s="13" customFormat="1" x14ac:dyDescent="0.35"/>
    <row r="1808" s="13" customFormat="1" x14ac:dyDescent="0.35"/>
    <row r="1809" s="13" customFormat="1" x14ac:dyDescent="0.35"/>
    <row r="1810" s="13" customFormat="1" x14ac:dyDescent="0.35"/>
    <row r="1811" s="13" customFormat="1" x14ac:dyDescent="0.35"/>
    <row r="1812" s="13" customFormat="1" x14ac:dyDescent="0.35"/>
    <row r="1813" s="13" customFormat="1" x14ac:dyDescent="0.35"/>
    <row r="1814" s="13" customFormat="1" x14ac:dyDescent="0.35"/>
    <row r="1815" s="13" customFormat="1" x14ac:dyDescent="0.35"/>
    <row r="1816" s="13" customFormat="1" x14ac:dyDescent="0.35"/>
    <row r="1817" s="13" customFormat="1" x14ac:dyDescent="0.35"/>
    <row r="1818" s="13" customFormat="1" x14ac:dyDescent="0.35"/>
    <row r="1819" s="13" customFormat="1" x14ac:dyDescent="0.35"/>
    <row r="1820" s="13" customFormat="1" x14ac:dyDescent="0.35"/>
    <row r="1821" s="13" customFormat="1" x14ac:dyDescent="0.35"/>
    <row r="1822" s="13" customFormat="1" x14ac:dyDescent="0.35"/>
    <row r="1823" s="13" customFormat="1" x14ac:dyDescent="0.35"/>
    <row r="1824" s="13" customFormat="1" x14ac:dyDescent="0.35"/>
    <row r="1825" s="13" customFormat="1" x14ac:dyDescent="0.35"/>
    <row r="1826" s="13" customFormat="1" x14ac:dyDescent="0.35"/>
    <row r="1827" s="13" customFormat="1" x14ac:dyDescent="0.35"/>
    <row r="1828" s="13" customFormat="1" x14ac:dyDescent="0.35"/>
    <row r="1829" s="13" customFormat="1" x14ac:dyDescent="0.35"/>
    <row r="1830" s="13" customFormat="1" x14ac:dyDescent="0.35"/>
    <row r="1831" s="13" customFormat="1" x14ac:dyDescent="0.35"/>
    <row r="1832" s="13" customFormat="1" x14ac:dyDescent="0.35"/>
    <row r="1833" s="13" customFormat="1" x14ac:dyDescent="0.35"/>
    <row r="1834" s="13" customFormat="1" x14ac:dyDescent="0.35"/>
    <row r="1835" s="13" customFormat="1" x14ac:dyDescent="0.35"/>
    <row r="1836" s="13" customFormat="1" x14ac:dyDescent="0.35"/>
    <row r="1837" s="13" customFormat="1" x14ac:dyDescent="0.35"/>
    <row r="1838" s="13" customFormat="1" x14ac:dyDescent="0.35"/>
    <row r="1839" s="13" customFormat="1" x14ac:dyDescent="0.35"/>
    <row r="1840" s="13" customFormat="1" x14ac:dyDescent="0.35"/>
    <row r="1841" s="13" customFormat="1" x14ac:dyDescent="0.35"/>
    <row r="1842" s="13" customFormat="1" x14ac:dyDescent="0.35"/>
    <row r="1843" s="13" customFormat="1" x14ac:dyDescent="0.35"/>
    <row r="1844" s="13" customFormat="1" x14ac:dyDescent="0.35"/>
    <row r="1845" s="13" customFormat="1" x14ac:dyDescent="0.35"/>
    <row r="1846" s="13" customFormat="1" x14ac:dyDescent="0.35"/>
    <row r="1847" s="13" customFormat="1" x14ac:dyDescent="0.35"/>
    <row r="1848" s="13" customFormat="1" x14ac:dyDescent="0.35"/>
    <row r="1849" s="13" customFormat="1" x14ac:dyDescent="0.35"/>
    <row r="1850" s="13" customFormat="1" x14ac:dyDescent="0.35"/>
    <row r="1851" s="13" customFormat="1" x14ac:dyDescent="0.35"/>
    <row r="1852" s="13" customFormat="1" x14ac:dyDescent="0.35"/>
    <row r="1853" s="13" customFormat="1" x14ac:dyDescent="0.35"/>
    <row r="1854" s="13" customFormat="1" x14ac:dyDescent="0.35"/>
    <row r="1855" s="13" customFormat="1" x14ac:dyDescent="0.35"/>
    <row r="1856" s="13" customFormat="1" x14ac:dyDescent="0.35"/>
    <row r="1857" s="13" customFormat="1" x14ac:dyDescent="0.35"/>
    <row r="1858" s="13" customFormat="1" x14ac:dyDescent="0.35"/>
    <row r="1859" s="13" customFormat="1" x14ac:dyDescent="0.35"/>
    <row r="1860" s="13" customFormat="1" x14ac:dyDescent="0.35"/>
    <row r="1861" s="13" customFormat="1" x14ac:dyDescent="0.35"/>
    <row r="1862" s="13" customFormat="1" x14ac:dyDescent="0.35"/>
    <row r="1863" s="13" customFormat="1" x14ac:dyDescent="0.35"/>
    <row r="1864" s="13" customFormat="1" x14ac:dyDescent="0.35"/>
    <row r="1865" s="13" customFormat="1" x14ac:dyDescent="0.35"/>
    <row r="1866" s="13" customFormat="1" x14ac:dyDescent="0.35"/>
    <row r="1867" s="13" customFormat="1" x14ac:dyDescent="0.35"/>
    <row r="1868" s="13" customFormat="1" x14ac:dyDescent="0.35"/>
    <row r="1869" s="13" customFormat="1" x14ac:dyDescent="0.35"/>
    <row r="1870" s="13" customFormat="1" x14ac:dyDescent="0.35"/>
    <row r="1871" s="13" customFormat="1" x14ac:dyDescent="0.35"/>
    <row r="1872" s="13" customFormat="1" x14ac:dyDescent="0.35"/>
    <row r="1873" s="13" customFormat="1" x14ac:dyDescent="0.35"/>
    <row r="1874" s="13" customFormat="1" x14ac:dyDescent="0.35"/>
    <row r="1875" s="13" customFormat="1" x14ac:dyDescent="0.35"/>
    <row r="1876" s="13" customFormat="1" x14ac:dyDescent="0.35"/>
    <row r="1877" s="13" customFormat="1" x14ac:dyDescent="0.35"/>
    <row r="1878" s="13" customFormat="1" x14ac:dyDescent="0.35"/>
    <row r="1879" s="13" customFormat="1" x14ac:dyDescent="0.35"/>
    <row r="1880" s="13" customFormat="1" x14ac:dyDescent="0.35"/>
    <row r="1881" s="13" customFormat="1" x14ac:dyDescent="0.35"/>
    <row r="1882" s="13" customFormat="1" x14ac:dyDescent="0.35"/>
    <row r="1883" s="13" customFormat="1" x14ac:dyDescent="0.35"/>
    <row r="1884" s="13" customFormat="1" x14ac:dyDescent="0.35"/>
    <row r="1885" s="13" customFormat="1" x14ac:dyDescent="0.35"/>
    <row r="1886" s="13" customFormat="1" x14ac:dyDescent="0.35"/>
    <row r="1887" s="13" customFormat="1" x14ac:dyDescent="0.35"/>
    <row r="1888" s="13" customFormat="1" x14ac:dyDescent="0.35"/>
    <row r="1889" s="13" customFormat="1" x14ac:dyDescent="0.35"/>
    <row r="1890" s="13" customFormat="1" x14ac:dyDescent="0.35"/>
    <row r="1891" s="13" customFormat="1" x14ac:dyDescent="0.35"/>
    <row r="1892" s="13" customFormat="1" x14ac:dyDescent="0.35"/>
    <row r="1893" s="13" customFormat="1" x14ac:dyDescent="0.35"/>
    <row r="1894" s="13" customFormat="1" x14ac:dyDescent="0.35"/>
    <row r="1895" s="13" customFormat="1" x14ac:dyDescent="0.35"/>
    <row r="1896" s="13" customFormat="1" x14ac:dyDescent="0.35"/>
    <row r="1897" s="13" customFormat="1" x14ac:dyDescent="0.35"/>
    <row r="1898" s="13" customFormat="1" x14ac:dyDescent="0.35"/>
    <row r="1899" s="13" customFormat="1" x14ac:dyDescent="0.35"/>
    <row r="1900" s="13" customFormat="1" x14ac:dyDescent="0.35"/>
    <row r="1901" s="13" customFormat="1" x14ac:dyDescent="0.35"/>
    <row r="1902" s="13" customFormat="1" x14ac:dyDescent="0.35"/>
    <row r="1903" s="13" customFormat="1" x14ac:dyDescent="0.35"/>
    <row r="1904" s="13" customFormat="1" x14ac:dyDescent="0.35"/>
    <row r="1905" s="13" customFormat="1" x14ac:dyDescent="0.35"/>
    <row r="1906" s="13" customFormat="1" x14ac:dyDescent="0.35"/>
    <row r="1907" s="13" customFormat="1" x14ac:dyDescent="0.35"/>
    <row r="1908" s="13" customFormat="1" x14ac:dyDescent="0.35"/>
    <row r="1909" s="13" customFormat="1" x14ac:dyDescent="0.35"/>
    <row r="1910" s="13" customFormat="1" x14ac:dyDescent="0.35"/>
    <row r="1911" s="13" customFormat="1" x14ac:dyDescent="0.35"/>
    <row r="1912" s="13" customFormat="1" x14ac:dyDescent="0.35"/>
    <row r="1913" s="13" customFormat="1" x14ac:dyDescent="0.35"/>
    <row r="1914" s="13" customFormat="1" x14ac:dyDescent="0.35"/>
    <row r="1915" s="13" customFormat="1" x14ac:dyDescent="0.35"/>
    <row r="1916" s="13" customFormat="1" x14ac:dyDescent="0.35"/>
    <row r="1917" s="13" customFormat="1" x14ac:dyDescent="0.35"/>
    <row r="1918" s="13" customFormat="1" x14ac:dyDescent="0.35"/>
    <row r="1919" s="13" customFormat="1" x14ac:dyDescent="0.35"/>
    <row r="1920" s="13" customFormat="1" x14ac:dyDescent="0.35"/>
    <row r="1921" s="13" customFormat="1" x14ac:dyDescent="0.35"/>
    <row r="1922" s="13" customFormat="1" x14ac:dyDescent="0.35"/>
    <row r="1923" s="13" customFormat="1" x14ac:dyDescent="0.35"/>
    <row r="1924" s="13" customFormat="1" x14ac:dyDescent="0.35"/>
    <row r="1925" s="13" customFormat="1" x14ac:dyDescent="0.35"/>
    <row r="1926" s="13" customFormat="1" x14ac:dyDescent="0.35"/>
    <row r="1927" s="13" customFormat="1" x14ac:dyDescent="0.35"/>
    <row r="1928" s="13" customFormat="1" x14ac:dyDescent="0.35"/>
    <row r="1929" s="13" customFormat="1" x14ac:dyDescent="0.35"/>
    <row r="1930" s="13" customFormat="1" x14ac:dyDescent="0.35"/>
    <row r="1931" s="13" customFormat="1" x14ac:dyDescent="0.35"/>
    <row r="1932" s="13" customFormat="1" x14ac:dyDescent="0.35"/>
    <row r="1933" s="13" customFormat="1" x14ac:dyDescent="0.35"/>
    <row r="1934" s="13" customFormat="1" x14ac:dyDescent="0.35"/>
    <row r="1935" s="13" customFormat="1" x14ac:dyDescent="0.35"/>
    <row r="1936" s="13" customFormat="1" x14ac:dyDescent="0.35"/>
    <row r="1937" s="13" customFormat="1" x14ac:dyDescent="0.35"/>
    <row r="1938" s="13" customFormat="1" x14ac:dyDescent="0.35"/>
    <row r="1939" s="13" customFormat="1" x14ac:dyDescent="0.35"/>
    <row r="1940" s="13" customFormat="1" x14ac:dyDescent="0.35"/>
    <row r="1941" s="13" customFormat="1" x14ac:dyDescent="0.35"/>
    <row r="1942" s="13" customFormat="1" x14ac:dyDescent="0.35"/>
    <row r="1943" s="13" customFormat="1" x14ac:dyDescent="0.35"/>
    <row r="1944" s="13" customFormat="1" x14ac:dyDescent="0.35"/>
    <row r="1945" s="13" customFormat="1" x14ac:dyDescent="0.35"/>
    <row r="1946" s="13" customFormat="1" x14ac:dyDescent="0.35"/>
    <row r="1947" s="13" customFormat="1" x14ac:dyDescent="0.35"/>
    <row r="1948" s="13" customFormat="1" x14ac:dyDescent="0.35"/>
    <row r="1949" s="13" customFormat="1" x14ac:dyDescent="0.35"/>
    <row r="1950" s="13" customFormat="1" x14ac:dyDescent="0.35"/>
    <row r="1951" s="13" customFormat="1" x14ac:dyDescent="0.35"/>
    <row r="1952" s="13" customFormat="1" x14ac:dyDescent="0.35"/>
    <row r="1953" s="13" customFormat="1" x14ac:dyDescent="0.35"/>
    <row r="1954" s="13" customFormat="1" x14ac:dyDescent="0.35"/>
    <row r="1955" s="13" customFormat="1" x14ac:dyDescent="0.35"/>
    <row r="1956" s="13" customFormat="1" x14ac:dyDescent="0.35"/>
    <row r="1957" s="13" customFormat="1" x14ac:dyDescent="0.35"/>
    <row r="1958" s="13" customFormat="1" x14ac:dyDescent="0.35"/>
    <row r="1959" s="13" customFormat="1" x14ac:dyDescent="0.35"/>
    <row r="1960" s="13" customFormat="1" x14ac:dyDescent="0.35"/>
    <row r="1961" s="13" customFormat="1" x14ac:dyDescent="0.35"/>
    <row r="1962" s="13" customFormat="1" x14ac:dyDescent="0.35"/>
    <row r="1963" s="13" customFormat="1" x14ac:dyDescent="0.35"/>
    <row r="1964" s="13" customFormat="1" x14ac:dyDescent="0.35"/>
    <row r="1965" s="13" customFormat="1" x14ac:dyDescent="0.35"/>
    <row r="1966" s="13" customFormat="1" x14ac:dyDescent="0.35"/>
    <row r="1967" s="13" customFormat="1" x14ac:dyDescent="0.35"/>
    <row r="1968" s="13" customFormat="1" x14ac:dyDescent="0.35"/>
    <row r="1969" s="13" customFormat="1" x14ac:dyDescent="0.35"/>
    <row r="1970" s="13" customFormat="1" x14ac:dyDescent="0.35"/>
    <row r="1971" s="13" customFormat="1" x14ac:dyDescent="0.35"/>
    <row r="1972" s="13" customFormat="1" x14ac:dyDescent="0.35"/>
    <row r="1973" s="13" customFormat="1" x14ac:dyDescent="0.35"/>
    <row r="1974" s="13" customFormat="1" x14ac:dyDescent="0.35"/>
    <row r="1975" s="13" customFormat="1" x14ac:dyDescent="0.35"/>
    <row r="1976" s="13" customFormat="1" x14ac:dyDescent="0.35"/>
    <row r="1977" s="13" customFormat="1" x14ac:dyDescent="0.35"/>
    <row r="1978" s="13" customFormat="1" x14ac:dyDescent="0.35"/>
    <row r="1979" s="13" customFormat="1" x14ac:dyDescent="0.35"/>
    <row r="1980" s="13" customFormat="1" x14ac:dyDescent="0.35"/>
    <row r="1981" s="13" customFormat="1" x14ac:dyDescent="0.35"/>
    <row r="1982" s="13" customFormat="1" x14ac:dyDescent="0.35"/>
    <row r="1983" s="13" customFormat="1" x14ac:dyDescent="0.35"/>
    <row r="1984" s="13" customFormat="1" x14ac:dyDescent="0.35"/>
    <row r="1985" s="13" customFormat="1" x14ac:dyDescent="0.35"/>
    <row r="1986" s="13" customFormat="1" x14ac:dyDescent="0.35"/>
    <row r="1987" s="13" customFormat="1" x14ac:dyDescent="0.35"/>
    <row r="1988" s="13" customFormat="1" x14ac:dyDescent="0.35"/>
    <row r="1989" s="13" customFormat="1" x14ac:dyDescent="0.35"/>
    <row r="1990" s="13" customFormat="1" x14ac:dyDescent="0.35"/>
    <row r="1991" s="13" customFormat="1" x14ac:dyDescent="0.35"/>
    <row r="1992" s="13" customFormat="1" x14ac:dyDescent="0.35"/>
    <row r="1993" s="13" customFormat="1" x14ac:dyDescent="0.35"/>
    <row r="1994" s="13" customFormat="1" x14ac:dyDescent="0.35"/>
    <row r="1995" s="13" customFormat="1" x14ac:dyDescent="0.35"/>
    <row r="1996" s="13" customFormat="1" x14ac:dyDescent="0.35"/>
    <row r="1997" s="13" customFormat="1" x14ac:dyDescent="0.35"/>
    <row r="1998" s="13" customFormat="1" x14ac:dyDescent="0.35"/>
    <row r="1999" s="13" customFormat="1" x14ac:dyDescent="0.35"/>
    <row r="2000" s="13" customFormat="1" x14ac:dyDescent="0.35"/>
    <row r="2001" s="13" customFormat="1" x14ac:dyDescent="0.35"/>
    <row r="2002" s="13" customFormat="1" x14ac:dyDescent="0.35"/>
    <row r="2003" s="13" customFormat="1" x14ac:dyDescent="0.35"/>
    <row r="2004" s="13" customFormat="1" x14ac:dyDescent="0.35"/>
    <row r="2005" s="13" customFormat="1" x14ac:dyDescent="0.35"/>
    <row r="2006" s="13" customFormat="1" x14ac:dyDescent="0.35"/>
    <row r="2007" s="13" customFormat="1" x14ac:dyDescent="0.35"/>
    <row r="2008" s="13" customFormat="1" x14ac:dyDescent="0.35"/>
    <row r="2009" s="13" customFormat="1" x14ac:dyDescent="0.35"/>
    <row r="2010" s="13" customFormat="1" x14ac:dyDescent="0.35"/>
    <row r="2011" s="13" customFormat="1" x14ac:dyDescent="0.35"/>
    <row r="2012" s="13" customFormat="1" x14ac:dyDescent="0.35"/>
    <row r="2013" s="13" customFormat="1" x14ac:dyDescent="0.35"/>
    <row r="2014" s="13" customFormat="1" x14ac:dyDescent="0.35"/>
    <row r="2015" s="13" customFormat="1" x14ac:dyDescent="0.35"/>
    <row r="2016" s="13" customFormat="1" x14ac:dyDescent="0.35"/>
    <row r="2017" s="13" customFormat="1" x14ac:dyDescent="0.35"/>
    <row r="2018" s="13" customFormat="1" x14ac:dyDescent="0.35"/>
    <row r="2019" s="13" customFormat="1" x14ac:dyDescent="0.35"/>
    <row r="2020" s="13" customFormat="1" x14ac:dyDescent="0.35"/>
    <row r="2021" s="13" customFormat="1" x14ac:dyDescent="0.35"/>
    <row r="2022" s="13" customFormat="1" x14ac:dyDescent="0.35"/>
    <row r="2023" s="13" customFormat="1" x14ac:dyDescent="0.35"/>
    <row r="2024" s="13" customFormat="1" x14ac:dyDescent="0.35"/>
    <row r="2025" s="13" customFormat="1" x14ac:dyDescent="0.35"/>
    <row r="2026" s="13" customFormat="1" x14ac:dyDescent="0.35"/>
    <row r="2027" s="13" customFormat="1" x14ac:dyDescent="0.35"/>
    <row r="2028" s="13" customFormat="1" x14ac:dyDescent="0.35"/>
    <row r="2029" s="13" customFormat="1" x14ac:dyDescent="0.35"/>
    <row r="2030" s="13" customFormat="1" x14ac:dyDescent="0.35"/>
    <row r="2031" s="13" customFormat="1" x14ac:dyDescent="0.35"/>
    <row r="2032" s="13" customFormat="1" x14ac:dyDescent="0.35"/>
    <row r="2033" s="13" customFormat="1" x14ac:dyDescent="0.35"/>
    <row r="2034" s="13" customFormat="1" x14ac:dyDescent="0.35"/>
    <row r="2035" s="13" customFormat="1" x14ac:dyDescent="0.35"/>
    <row r="2036" s="13" customFormat="1" x14ac:dyDescent="0.35"/>
    <row r="2037" s="13" customFormat="1" x14ac:dyDescent="0.35"/>
    <row r="2038" s="13" customFormat="1" x14ac:dyDescent="0.35"/>
    <row r="2039" s="13" customFormat="1" x14ac:dyDescent="0.35"/>
    <row r="2040" s="13" customFormat="1" x14ac:dyDescent="0.35"/>
    <row r="2041" s="13" customFormat="1" x14ac:dyDescent="0.35"/>
    <row r="2042" s="13" customFormat="1" x14ac:dyDescent="0.35"/>
    <row r="2043" s="13" customFormat="1" x14ac:dyDescent="0.35"/>
    <row r="2044" s="13" customFormat="1" x14ac:dyDescent="0.35"/>
    <row r="2045" s="13" customFormat="1" x14ac:dyDescent="0.35"/>
    <row r="2046" s="13" customFormat="1" x14ac:dyDescent="0.35"/>
    <row r="2047" s="13" customFormat="1" x14ac:dyDescent="0.35"/>
    <row r="2048" s="13" customFormat="1" x14ac:dyDescent="0.35"/>
    <row r="2049" s="13" customFormat="1" x14ac:dyDescent="0.35"/>
    <row r="2050" s="13" customFormat="1" x14ac:dyDescent="0.35"/>
    <row r="2051" s="13" customFormat="1" x14ac:dyDescent="0.35"/>
    <row r="2052" s="13" customFormat="1" x14ac:dyDescent="0.35"/>
    <row r="2053" s="13" customFormat="1" x14ac:dyDescent="0.35"/>
    <row r="2054" s="13" customFormat="1" x14ac:dyDescent="0.35"/>
    <row r="2055" s="13" customFormat="1" x14ac:dyDescent="0.35"/>
    <row r="2056" s="13" customFormat="1" x14ac:dyDescent="0.35"/>
    <row r="2057" s="13" customFormat="1" x14ac:dyDescent="0.35"/>
    <row r="2058" s="13" customFormat="1" x14ac:dyDescent="0.35"/>
    <row r="2059" s="13" customFormat="1" x14ac:dyDescent="0.35"/>
    <row r="2060" s="13" customFormat="1" x14ac:dyDescent="0.35"/>
    <row r="2061" s="13" customFormat="1" x14ac:dyDescent="0.35"/>
    <row r="2062" s="13" customFormat="1" x14ac:dyDescent="0.35"/>
    <row r="2063" s="13" customFormat="1" x14ac:dyDescent="0.35"/>
    <row r="2064" s="13" customFormat="1" x14ac:dyDescent="0.35"/>
    <row r="2065" s="13" customFormat="1" x14ac:dyDescent="0.35"/>
    <row r="2066" s="13" customFormat="1" x14ac:dyDescent="0.35"/>
    <row r="2067" s="13" customFormat="1" x14ac:dyDescent="0.35"/>
    <row r="2068" s="13" customFormat="1" x14ac:dyDescent="0.35"/>
    <row r="2069" s="13" customFormat="1" x14ac:dyDescent="0.35"/>
    <row r="2070" s="13" customFormat="1" x14ac:dyDescent="0.35"/>
    <row r="2071" s="13" customFormat="1" x14ac:dyDescent="0.35"/>
    <row r="2072" s="13" customFormat="1" x14ac:dyDescent="0.35"/>
    <row r="2073" s="13" customFormat="1" x14ac:dyDescent="0.35"/>
    <row r="2074" s="13" customFormat="1" x14ac:dyDescent="0.35"/>
    <row r="2075" s="13" customFormat="1" x14ac:dyDescent="0.35"/>
    <row r="2076" s="13" customFormat="1" x14ac:dyDescent="0.35"/>
    <row r="2077" s="13" customFormat="1" x14ac:dyDescent="0.35"/>
    <row r="2078" s="13" customFormat="1" x14ac:dyDescent="0.35"/>
    <row r="2079" s="13" customFormat="1" x14ac:dyDescent="0.35"/>
    <row r="2080" s="13" customFormat="1" x14ac:dyDescent="0.35"/>
    <row r="2081" s="13" customFormat="1" x14ac:dyDescent="0.35"/>
    <row r="2082" s="13" customFormat="1" x14ac:dyDescent="0.35"/>
    <row r="2083" s="13" customFormat="1" x14ac:dyDescent="0.35"/>
    <row r="2084" s="13" customFormat="1" x14ac:dyDescent="0.35"/>
    <row r="2085" s="13" customFormat="1" x14ac:dyDescent="0.35"/>
    <row r="2086" s="13" customFormat="1" x14ac:dyDescent="0.35"/>
    <row r="2087" s="13" customFormat="1" x14ac:dyDescent="0.35"/>
    <row r="2088" s="13" customFormat="1" x14ac:dyDescent="0.35"/>
    <row r="2089" s="13" customFormat="1" x14ac:dyDescent="0.35"/>
    <row r="2090" s="13" customFormat="1" x14ac:dyDescent="0.35"/>
    <row r="2091" s="13" customFormat="1" x14ac:dyDescent="0.35"/>
    <row r="2092" s="13" customFormat="1" x14ac:dyDescent="0.35"/>
    <row r="2093" s="13" customFormat="1" x14ac:dyDescent="0.35"/>
    <row r="2094" s="13" customFormat="1" x14ac:dyDescent="0.35"/>
    <row r="2095" s="13" customFormat="1" x14ac:dyDescent="0.35"/>
    <row r="2096" s="13" customFormat="1" x14ac:dyDescent="0.35"/>
    <row r="2097" s="13" customFormat="1" x14ac:dyDescent="0.35"/>
    <row r="2098" s="13" customFormat="1" x14ac:dyDescent="0.35"/>
    <row r="2099" s="13" customFormat="1" x14ac:dyDescent="0.35"/>
    <row r="2100" s="13" customFormat="1" x14ac:dyDescent="0.35"/>
    <row r="2101" s="13" customFormat="1" x14ac:dyDescent="0.35"/>
    <row r="2102" s="13" customFormat="1" x14ac:dyDescent="0.35"/>
    <row r="2103" s="13" customFormat="1" x14ac:dyDescent="0.35"/>
    <row r="2104" s="13" customFormat="1" x14ac:dyDescent="0.35"/>
    <row r="2105" s="13" customFormat="1" x14ac:dyDescent="0.35"/>
    <row r="2106" s="13" customFormat="1" x14ac:dyDescent="0.35"/>
    <row r="2107" s="13" customFormat="1" x14ac:dyDescent="0.35"/>
    <row r="2108" s="13" customFormat="1" x14ac:dyDescent="0.35"/>
    <row r="2109" s="13" customFormat="1" x14ac:dyDescent="0.35"/>
    <row r="2110" s="13" customFormat="1" x14ac:dyDescent="0.35"/>
    <row r="2111" s="13" customFormat="1" x14ac:dyDescent="0.35"/>
    <row r="2112" s="13" customFormat="1" x14ac:dyDescent="0.35"/>
    <row r="2113" s="13" customFormat="1" x14ac:dyDescent="0.35"/>
    <row r="2114" s="13" customFormat="1" x14ac:dyDescent="0.35"/>
    <row r="2115" s="13" customFormat="1" x14ac:dyDescent="0.35"/>
    <row r="2116" s="13" customFormat="1" x14ac:dyDescent="0.35"/>
    <row r="2117" s="13" customFormat="1" x14ac:dyDescent="0.35"/>
    <row r="2118" s="13" customFormat="1" x14ac:dyDescent="0.35"/>
    <row r="2119" s="13" customFormat="1" x14ac:dyDescent="0.35"/>
    <row r="2120" s="13" customFormat="1" x14ac:dyDescent="0.35"/>
    <row r="2121" s="13" customFormat="1" x14ac:dyDescent="0.35"/>
    <row r="2122" s="13" customFormat="1" x14ac:dyDescent="0.35"/>
    <row r="2123" s="13" customFormat="1" x14ac:dyDescent="0.35"/>
    <row r="2124" s="13" customFormat="1" x14ac:dyDescent="0.35"/>
    <row r="2125" s="13" customFormat="1" x14ac:dyDescent="0.35"/>
    <row r="2126" s="13" customFormat="1" x14ac:dyDescent="0.35"/>
    <row r="2127" s="13" customFormat="1" x14ac:dyDescent="0.35"/>
    <row r="2128" s="13" customFormat="1" x14ac:dyDescent="0.35"/>
    <row r="2129" s="13" customFormat="1" x14ac:dyDescent="0.35"/>
    <row r="2130" s="13" customFormat="1" x14ac:dyDescent="0.35"/>
    <row r="2131" s="13" customFormat="1" x14ac:dyDescent="0.35"/>
    <row r="2132" s="13" customFormat="1" x14ac:dyDescent="0.35"/>
    <row r="2133" s="13" customFormat="1" x14ac:dyDescent="0.35"/>
    <row r="2134" s="13" customFormat="1" x14ac:dyDescent="0.35"/>
    <row r="2135" s="13" customFormat="1" x14ac:dyDescent="0.35"/>
    <row r="2136" s="13" customFormat="1" x14ac:dyDescent="0.35"/>
    <row r="2137" s="13" customFormat="1" x14ac:dyDescent="0.35"/>
    <row r="2138" s="13" customFormat="1" x14ac:dyDescent="0.35"/>
    <row r="2139" s="13" customFormat="1" x14ac:dyDescent="0.35"/>
    <row r="2140" s="13" customFormat="1" x14ac:dyDescent="0.35"/>
    <row r="2141" s="13" customFormat="1" x14ac:dyDescent="0.35"/>
    <row r="2142" s="13" customFormat="1" x14ac:dyDescent="0.35"/>
    <row r="2143" s="13" customFormat="1" x14ac:dyDescent="0.35"/>
    <row r="2144" s="13" customFormat="1" x14ac:dyDescent="0.35"/>
    <row r="2145" s="13" customFormat="1" x14ac:dyDescent="0.35"/>
    <row r="2146" s="13" customFormat="1" x14ac:dyDescent="0.35"/>
    <row r="2147" s="13" customFormat="1" x14ac:dyDescent="0.35"/>
    <row r="2148" s="13" customFormat="1" x14ac:dyDescent="0.35"/>
    <row r="2149" s="13" customFormat="1" x14ac:dyDescent="0.35"/>
    <row r="2150" s="13" customFormat="1" x14ac:dyDescent="0.35"/>
    <row r="2151" s="13" customFormat="1" x14ac:dyDescent="0.35"/>
    <row r="2152" s="13" customFormat="1" x14ac:dyDescent="0.35"/>
    <row r="2153" s="13" customFormat="1" x14ac:dyDescent="0.35"/>
    <row r="2154" s="13" customFormat="1" x14ac:dyDescent="0.35"/>
    <row r="2155" s="13" customFormat="1" x14ac:dyDescent="0.35"/>
    <row r="2156" s="13" customFormat="1" x14ac:dyDescent="0.35"/>
    <row r="2157" s="13" customFormat="1" x14ac:dyDescent="0.35"/>
    <row r="2158" s="13" customFormat="1" x14ac:dyDescent="0.35"/>
    <row r="2159" s="13" customFormat="1" x14ac:dyDescent="0.35"/>
    <row r="2160" s="13" customFormat="1" x14ac:dyDescent="0.35"/>
    <row r="2161" s="13" customFormat="1" x14ac:dyDescent="0.35"/>
    <row r="2162" s="13" customFormat="1" x14ac:dyDescent="0.35"/>
    <row r="2163" s="13" customFormat="1" x14ac:dyDescent="0.35"/>
    <row r="2164" s="13" customFormat="1" x14ac:dyDescent="0.35"/>
    <row r="2165" s="13" customFormat="1" x14ac:dyDescent="0.35"/>
    <row r="2166" s="13" customFormat="1" x14ac:dyDescent="0.35"/>
    <row r="2167" s="13" customFormat="1" x14ac:dyDescent="0.35"/>
    <row r="2168" s="13" customFormat="1" x14ac:dyDescent="0.35"/>
    <row r="2169" s="13" customFormat="1" x14ac:dyDescent="0.35"/>
    <row r="2170" s="13" customFormat="1" x14ac:dyDescent="0.35"/>
    <row r="2171" s="13" customFormat="1" x14ac:dyDescent="0.35"/>
    <row r="2172" s="13" customFormat="1" x14ac:dyDescent="0.35"/>
    <row r="2173" s="13" customFormat="1" x14ac:dyDescent="0.35"/>
    <row r="2174" s="13" customFormat="1" x14ac:dyDescent="0.35"/>
    <row r="2175" s="13" customFormat="1" x14ac:dyDescent="0.35"/>
    <row r="2176" s="13" customFormat="1" x14ac:dyDescent="0.35"/>
    <row r="2177" s="13" customFormat="1" x14ac:dyDescent="0.35"/>
    <row r="2178" s="13" customFormat="1" x14ac:dyDescent="0.35"/>
    <row r="2179" s="13" customFormat="1" x14ac:dyDescent="0.35"/>
    <row r="2180" s="13" customFormat="1" x14ac:dyDescent="0.35"/>
    <row r="2181" s="13" customFormat="1" x14ac:dyDescent="0.35"/>
    <row r="2182" s="13" customFormat="1" x14ac:dyDescent="0.35"/>
    <row r="2183" s="13" customFormat="1" x14ac:dyDescent="0.35"/>
    <row r="2184" s="13" customFormat="1" x14ac:dyDescent="0.35"/>
    <row r="2185" s="13" customFormat="1" x14ac:dyDescent="0.35"/>
    <row r="2186" s="13" customFormat="1" x14ac:dyDescent="0.35"/>
    <row r="2187" s="13" customFormat="1" x14ac:dyDescent="0.35"/>
    <row r="2188" s="13" customFormat="1" x14ac:dyDescent="0.35"/>
    <row r="2189" s="13" customFormat="1" x14ac:dyDescent="0.35"/>
    <row r="2190" s="13" customFormat="1" x14ac:dyDescent="0.35"/>
    <row r="2191" s="13" customFormat="1" x14ac:dyDescent="0.35"/>
    <row r="2192" s="13" customFormat="1" x14ac:dyDescent="0.35"/>
    <row r="2193" s="13" customFormat="1" x14ac:dyDescent="0.35"/>
    <row r="2194" s="13" customFormat="1" x14ac:dyDescent="0.35"/>
    <row r="2195" s="13" customFormat="1" x14ac:dyDescent="0.35"/>
    <row r="2196" s="13" customFormat="1" x14ac:dyDescent="0.35"/>
    <row r="2197" s="13" customFormat="1" x14ac:dyDescent="0.35"/>
    <row r="2198" s="13" customFormat="1" x14ac:dyDescent="0.35"/>
    <row r="2199" s="13" customFormat="1" x14ac:dyDescent="0.35"/>
    <row r="2200" s="13" customFormat="1" x14ac:dyDescent="0.35"/>
    <row r="2201" s="13" customFormat="1" x14ac:dyDescent="0.35"/>
    <row r="2202" s="13" customFormat="1" x14ac:dyDescent="0.35"/>
    <row r="2203" s="13" customFormat="1" x14ac:dyDescent="0.35"/>
    <row r="2204" s="13" customFormat="1" x14ac:dyDescent="0.35"/>
    <row r="2205" s="13" customFormat="1" x14ac:dyDescent="0.35"/>
    <row r="2206" s="13" customFormat="1" x14ac:dyDescent="0.35"/>
    <row r="2207" s="13" customFormat="1" x14ac:dyDescent="0.35"/>
    <row r="2208" s="13" customFormat="1" x14ac:dyDescent="0.35"/>
    <row r="2209" s="13" customFormat="1" x14ac:dyDescent="0.35"/>
    <row r="2210" s="13" customFormat="1" x14ac:dyDescent="0.35"/>
    <row r="2211" s="13" customFormat="1" x14ac:dyDescent="0.35"/>
    <row r="2212" s="13" customFormat="1" x14ac:dyDescent="0.35"/>
    <row r="2213" s="13" customFormat="1" x14ac:dyDescent="0.35"/>
    <row r="2214" s="13" customFormat="1" x14ac:dyDescent="0.35"/>
    <row r="2215" s="13" customFormat="1" x14ac:dyDescent="0.35"/>
    <row r="2216" s="13" customFormat="1" x14ac:dyDescent="0.35"/>
    <row r="2217" s="13" customFormat="1" x14ac:dyDescent="0.35"/>
    <row r="2218" s="13" customFormat="1" x14ac:dyDescent="0.35"/>
    <row r="2219" s="13" customFormat="1" x14ac:dyDescent="0.35"/>
    <row r="2220" s="13" customFormat="1" x14ac:dyDescent="0.35"/>
    <row r="2221" s="13" customFormat="1" x14ac:dyDescent="0.35"/>
    <row r="2222" s="13" customFormat="1" x14ac:dyDescent="0.35"/>
    <row r="2223" s="13" customFormat="1" x14ac:dyDescent="0.35"/>
    <row r="2224" s="13" customFormat="1" x14ac:dyDescent="0.35"/>
    <row r="2225" s="13" customFormat="1" x14ac:dyDescent="0.35"/>
    <row r="2226" s="13" customFormat="1" x14ac:dyDescent="0.35"/>
    <row r="2227" s="13" customFormat="1" x14ac:dyDescent="0.35"/>
    <row r="2228" s="13" customFormat="1" x14ac:dyDescent="0.35"/>
    <row r="2229" s="13" customFormat="1" x14ac:dyDescent="0.35"/>
    <row r="2230" s="13" customFormat="1" x14ac:dyDescent="0.35"/>
    <row r="2231" s="13" customFormat="1" x14ac:dyDescent="0.35"/>
    <row r="2232" s="13" customFormat="1" x14ac:dyDescent="0.35"/>
    <row r="2233" s="13" customFormat="1" x14ac:dyDescent="0.35"/>
    <row r="2234" s="13" customFormat="1" x14ac:dyDescent="0.35"/>
    <row r="2235" s="13" customFormat="1" x14ac:dyDescent="0.35"/>
    <row r="2236" s="13" customFormat="1" x14ac:dyDescent="0.35"/>
    <row r="2237" s="13" customFormat="1" x14ac:dyDescent="0.35"/>
    <row r="2238" s="13" customFormat="1" x14ac:dyDescent="0.35"/>
    <row r="2239" s="13" customFormat="1" x14ac:dyDescent="0.35"/>
    <row r="2240" s="13" customFormat="1" x14ac:dyDescent="0.35"/>
    <row r="2241" s="13" customFormat="1" x14ac:dyDescent="0.35"/>
    <row r="2242" s="13" customFormat="1" x14ac:dyDescent="0.35"/>
    <row r="2243" s="13" customFormat="1" x14ac:dyDescent="0.35"/>
    <row r="2244" s="13" customFormat="1" x14ac:dyDescent="0.35"/>
    <row r="2245" s="13" customFormat="1" x14ac:dyDescent="0.35"/>
    <row r="2246" s="13" customFormat="1" x14ac:dyDescent="0.35"/>
    <row r="2247" s="13" customFormat="1" x14ac:dyDescent="0.35"/>
    <row r="2248" s="13" customFormat="1" x14ac:dyDescent="0.35"/>
    <row r="2249" s="13" customFormat="1" x14ac:dyDescent="0.35"/>
    <row r="2250" s="13" customFormat="1" x14ac:dyDescent="0.35"/>
    <row r="2251" s="13" customFormat="1" x14ac:dyDescent="0.35"/>
    <row r="2252" s="13" customFormat="1" x14ac:dyDescent="0.35"/>
    <row r="2253" s="13" customFormat="1" x14ac:dyDescent="0.35"/>
    <row r="2254" s="13" customFormat="1" x14ac:dyDescent="0.35"/>
    <row r="2255" s="13" customFormat="1" x14ac:dyDescent="0.35"/>
    <row r="2256" s="13" customFormat="1" x14ac:dyDescent="0.35"/>
    <row r="2257" s="13" customFormat="1" x14ac:dyDescent="0.35"/>
    <row r="2258" s="13" customFormat="1" x14ac:dyDescent="0.35"/>
    <row r="2259" s="13" customFormat="1" x14ac:dyDescent="0.35"/>
    <row r="2260" s="13" customFormat="1" x14ac:dyDescent="0.35"/>
    <row r="2261" s="13" customFormat="1" x14ac:dyDescent="0.35"/>
    <row r="2262" s="13" customFormat="1" x14ac:dyDescent="0.35"/>
    <row r="2263" s="13" customFormat="1" x14ac:dyDescent="0.35"/>
    <row r="2264" s="13" customFormat="1" x14ac:dyDescent="0.35"/>
    <row r="2265" s="13" customFormat="1" x14ac:dyDescent="0.35"/>
    <row r="2266" s="13" customFormat="1" x14ac:dyDescent="0.35"/>
    <row r="2267" s="13" customFormat="1" x14ac:dyDescent="0.35"/>
    <row r="2268" s="13" customFormat="1" x14ac:dyDescent="0.35"/>
    <row r="2269" s="13" customFormat="1" x14ac:dyDescent="0.35"/>
    <row r="2270" s="13" customFormat="1" x14ac:dyDescent="0.35"/>
    <row r="2271" s="13" customFormat="1" x14ac:dyDescent="0.35"/>
    <row r="2272" s="13" customFormat="1" x14ac:dyDescent="0.35"/>
    <row r="2273" s="13" customFormat="1" x14ac:dyDescent="0.35"/>
    <row r="2274" s="13" customFormat="1" x14ac:dyDescent="0.35"/>
    <row r="2275" s="13" customFormat="1" x14ac:dyDescent="0.35"/>
    <row r="2276" s="13" customFormat="1" x14ac:dyDescent="0.35"/>
    <row r="2277" s="13" customFormat="1" x14ac:dyDescent="0.35"/>
    <row r="2278" s="13" customFormat="1" x14ac:dyDescent="0.35"/>
    <row r="2279" s="13" customFormat="1" x14ac:dyDescent="0.35"/>
    <row r="2280" s="13" customFormat="1" x14ac:dyDescent="0.35"/>
    <row r="2281" s="13" customFormat="1" x14ac:dyDescent="0.35"/>
    <row r="2282" s="13" customFormat="1" x14ac:dyDescent="0.35"/>
    <row r="2283" s="13" customFormat="1" x14ac:dyDescent="0.35"/>
    <row r="2284" s="13" customFormat="1" x14ac:dyDescent="0.35"/>
    <row r="2285" s="13" customFormat="1" x14ac:dyDescent="0.35"/>
    <row r="2286" s="13" customFormat="1" x14ac:dyDescent="0.35"/>
    <row r="2287" s="13" customFormat="1" x14ac:dyDescent="0.35"/>
    <row r="2288" s="13" customFormat="1" x14ac:dyDescent="0.35"/>
    <row r="2289" s="13" customFormat="1" x14ac:dyDescent="0.35"/>
    <row r="2290" s="13" customFormat="1" x14ac:dyDescent="0.35"/>
    <row r="2291" s="13" customFormat="1" x14ac:dyDescent="0.35"/>
    <row r="2292" s="13" customFormat="1" x14ac:dyDescent="0.35"/>
    <row r="2293" s="13" customFormat="1" x14ac:dyDescent="0.35"/>
    <row r="2294" s="13" customFormat="1" x14ac:dyDescent="0.35"/>
    <row r="2295" s="13" customFormat="1" x14ac:dyDescent="0.35"/>
    <row r="2296" s="13" customFormat="1" x14ac:dyDescent="0.35"/>
    <row r="2297" s="13" customFormat="1" x14ac:dyDescent="0.35"/>
    <row r="2298" s="13" customFormat="1" x14ac:dyDescent="0.35"/>
    <row r="2299" s="13" customFormat="1" x14ac:dyDescent="0.35"/>
    <row r="2300" s="13" customFormat="1" x14ac:dyDescent="0.35"/>
    <row r="2301" s="13" customFormat="1" x14ac:dyDescent="0.35"/>
    <row r="2302" s="13" customFormat="1" x14ac:dyDescent="0.35"/>
    <row r="2303" s="13" customFormat="1" x14ac:dyDescent="0.35"/>
    <row r="2304" s="13" customFormat="1" x14ac:dyDescent="0.35"/>
    <row r="2305" s="13" customFormat="1" x14ac:dyDescent="0.35"/>
    <row r="2306" s="13" customFormat="1" x14ac:dyDescent="0.35"/>
    <row r="2307" s="13" customFormat="1" x14ac:dyDescent="0.35"/>
    <row r="2308" s="13" customFormat="1" x14ac:dyDescent="0.35"/>
    <row r="2309" s="13" customFormat="1" x14ac:dyDescent="0.35"/>
    <row r="2310" s="13" customFormat="1" x14ac:dyDescent="0.35"/>
    <row r="2311" s="13" customFormat="1" x14ac:dyDescent="0.35"/>
    <row r="2312" s="13" customFormat="1" x14ac:dyDescent="0.35"/>
    <row r="2313" s="13" customFormat="1" x14ac:dyDescent="0.35"/>
    <row r="2314" s="13" customFormat="1" x14ac:dyDescent="0.35"/>
    <row r="2315" s="13" customFormat="1" x14ac:dyDescent="0.35"/>
    <row r="2316" s="13" customFormat="1" x14ac:dyDescent="0.35"/>
    <row r="2317" s="13" customFormat="1" x14ac:dyDescent="0.35"/>
    <row r="2318" s="13" customFormat="1" x14ac:dyDescent="0.35"/>
    <row r="2319" s="13" customFormat="1" x14ac:dyDescent="0.35"/>
    <row r="2320" s="13" customFormat="1" x14ac:dyDescent="0.35"/>
    <row r="2321" s="13" customFormat="1" x14ac:dyDescent="0.35"/>
    <row r="2322" s="13" customFormat="1" x14ac:dyDescent="0.35"/>
    <row r="2323" s="13" customFormat="1" x14ac:dyDescent="0.35"/>
    <row r="2324" s="13" customFormat="1" x14ac:dyDescent="0.35"/>
    <row r="2325" s="13" customFormat="1" x14ac:dyDescent="0.35"/>
    <row r="2326" s="13" customFormat="1" x14ac:dyDescent="0.35"/>
    <row r="2327" s="13" customFormat="1" x14ac:dyDescent="0.35"/>
    <row r="2328" s="13" customFormat="1" x14ac:dyDescent="0.35"/>
    <row r="2329" s="13" customFormat="1" x14ac:dyDescent="0.35"/>
    <row r="2330" s="13" customFormat="1" x14ac:dyDescent="0.35"/>
    <row r="2331" s="13" customFormat="1" x14ac:dyDescent="0.35"/>
    <row r="2332" s="13" customFormat="1" x14ac:dyDescent="0.35"/>
    <row r="2333" s="13" customFormat="1" x14ac:dyDescent="0.35"/>
    <row r="2334" s="13" customFormat="1" x14ac:dyDescent="0.35"/>
    <row r="2335" s="13" customFormat="1" x14ac:dyDescent="0.35"/>
    <row r="2336" s="13" customFormat="1" x14ac:dyDescent="0.35"/>
    <row r="2337" s="13" customFormat="1" x14ac:dyDescent="0.35"/>
    <row r="2338" s="13" customFormat="1" x14ac:dyDescent="0.35"/>
    <row r="2339" s="13" customFormat="1" x14ac:dyDescent="0.35"/>
    <row r="2340" s="13" customFormat="1" x14ac:dyDescent="0.35"/>
    <row r="2341" s="13" customFormat="1" x14ac:dyDescent="0.35"/>
    <row r="2342" s="13" customFormat="1" x14ac:dyDescent="0.35"/>
    <row r="2343" s="13" customFormat="1" x14ac:dyDescent="0.35"/>
    <row r="2344" s="13" customFormat="1" x14ac:dyDescent="0.35"/>
    <row r="2345" s="13" customFormat="1" x14ac:dyDescent="0.35"/>
    <row r="2346" s="13" customFormat="1" x14ac:dyDescent="0.35"/>
    <row r="2347" s="13" customFormat="1" x14ac:dyDescent="0.35"/>
    <row r="2348" s="13" customFormat="1" x14ac:dyDescent="0.35"/>
    <row r="2349" s="13" customFormat="1" x14ac:dyDescent="0.35"/>
    <row r="2350" s="13" customFormat="1" x14ac:dyDescent="0.35"/>
    <row r="2351" s="13" customFormat="1" x14ac:dyDescent="0.35"/>
    <row r="2352" s="13" customFormat="1" x14ac:dyDescent="0.35"/>
    <row r="2353" s="13" customFormat="1" x14ac:dyDescent="0.35"/>
    <row r="2354" s="13" customFormat="1" x14ac:dyDescent="0.35"/>
    <row r="2355" s="13" customFormat="1" x14ac:dyDescent="0.35"/>
    <row r="2356" s="13" customFormat="1" x14ac:dyDescent="0.35"/>
    <row r="2357" s="13" customFormat="1" x14ac:dyDescent="0.35"/>
    <row r="2358" s="13" customFormat="1" x14ac:dyDescent="0.35"/>
    <row r="2359" s="13" customFormat="1" x14ac:dyDescent="0.35"/>
    <row r="2360" s="13" customFormat="1" x14ac:dyDescent="0.35"/>
    <row r="2361" s="13" customFormat="1" x14ac:dyDescent="0.35"/>
    <row r="2362" s="13" customFormat="1" x14ac:dyDescent="0.35"/>
    <row r="2363" s="13" customFormat="1" x14ac:dyDescent="0.35"/>
    <row r="2364" s="13" customFormat="1" x14ac:dyDescent="0.35"/>
    <row r="2365" s="13" customFormat="1" x14ac:dyDescent="0.35"/>
    <row r="2366" s="13" customFormat="1" x14ac:dyDescent="0.35"/>
    <row r="2367" s="13" customFormat="1" x14ac:dyDescent="0.35"/>
    <row r="2368" s="13" customFormat="1" x14ac:dyDescent="0.35"/>
    <row r="2369" s="13" customFormat="1" x14ac:dyDescent="0.35"/>
    <row r="2370" s="13" customFormat="1" x14ac:dyDescent="0.35"/>
    <row r="2371" s="13" customFormat="1" x14ac:dyDescent="0.35"/>
    <row r="2372" s="13" customFormat="1" x14ac:dyDescent="0.35"/>
    <row r="2373" s="13" customFormat="1" x14ac:dyDescent="0.35"/>
    <row r="2374" s="13" customFormat="1" x14ac:dyDescent="0.35"/>
    <row r="2375" s="13" customFormat="1" x14ac:dyDescent="0.35"/>
    <row r="2376" s="13" customFormat="1" x14ac:dyDescent="0.35"/>
    <row r="2377" s="13" customFormat="1" x14ac:dyDescent="0.35"/>
    <row r="2378" s="13" customFormat="1" x14ac:dyDescent="0.35"/>
    <row r="2379" s="13" customFormat="1" x14ac:dyDescent="0.35"/>
    <row r="2380" s="13" customFormat="1" x14ac:dyDescent="0.35"/>
    <row r="2381" s="13" customFormat="1" x14ac:dyDescent="0.35"/>
    <row r="2382" s="13" customFormat="1" x14ac:dyDescent="0.35"/>
    <row r="2383" s="13" customFormat="1" x14ac:dyDescent="0.35"/>
    <row r="2384" s="13" customFormat="1" x14ac:dyDescent="0.35"/>
    <row r="2385" s="13" customFormat="1" x14ac:dyDescent="0.35"/>
    <row r="2386" s="13" customFormat="1" x14ac:dyDescent="0.35"/>
    <row r="2387" s="13" customFormat="1" x14ac:dyDescent="0.35"/>
    <row r="2388" s="13" customFormat="1" x14ac:dyDescent="0.35"/>
    <row r="2389" s="13" customFormat="1" x14ac:dyDescent="0.35"/>
    <row r="2390" s="13" customFormat="1" x14ac:dyDescent="0.35"/>
    <row r="2391" s="13" customFormat="1" x14ac:dyDescent="0.35"/>
    <row r="2392" s="13" customFormat="1" x14ac:dyDescent="0.35"/>
    <row r="2393" s="13" customFormat="1" x14ac:dyDescent="0.35"/>
    <row r="2394" s="13" customFormat="1" x14ac:dyDescent="0.35"/>
    <row r="2395" s="13" customFormat="1" x14ac:dyDescent="0.35"/>
    <row r="2396" s="13" customFormat="1" x14ac:dyDescent="0.35"/>
    <row r="2397" s="13" customFormat="1" x14ac:dyDescent="0.35"/>
    <row r="2398" s="13" customFormat="1" x14ac:dyDescent="0.35"/>
    <row r="2399" s="13" customFormat="1" x14ac:dyDescent="0.35"/>
    <row r="2400" s="13" customFormat="1" x14ac:dyDescent="0.35"/>
    <row r="2401" s="13" customFormat="1" x14ac:dyDescent="0.35"/>
    <row r="2402" s="13" customFormat="1" x14ac:dyDescent="0.35"/>
    <row r="2403" s="13" customFormat="1" x14ac:dyDescent="0.35"/>
    <row r="2404" s="13" customFormat="1" x14ac:dyDescent="0.35"/>
    <row r="2405" s="13" customFormat="1" x14ac:dyDescent="0.35"/>
    <row r="2406" s="13" customFormat="1" x14ac:dyDescent="0.35"/>
    <row r="2407" s="13" customFormat="1" x14ac:dyDescent="0.35"/>
    <row r="2408" s="13" customFormat="1" x14ac:dyDescent="0.35"/>
    <row r="2409" s="13" customFormat="1" x14ac:dyDescent="0.35"/>
    <row r="2410" s="13" customFormat="1" x14ac:dyDescent="0.35"/>
    <row r="2411" s="13" customFormat="1" x14ac:dyDescent="0.35"/>
    <row r="2412" s="13" customFormat="1" x14ac:dyDescent="0.35"/>
    <row r="2413" s="13" customFormat="1" x14ac:dyDescent="0.35"/>
    <row r="2414" s="13" customFormat="1" x14ac:dyDescent="0.35"/>
    <row r="2415" s="13" customFormat="1" x14ac:dyDescent="0.35"/>
    <row r="2416" s="13" customFormat="1" x14ac:dyDescent="0.35"/>
    <row r="2417" s="13" customFormat="1" x14ac:dyDescent="0.35"/>
    <row r="2418" s="13" customFormat="1" x14ac:dyDescent="0.35"/>
    <row r="2419" s="13" customFormat="1" x14ac:dyDescent="0.35"/>
    <row r="2420" s="13" customFormat="1" x14ac:dyDescent="0.35"/>
    <row r="2421" s="13" customFormat="1" x14ac:dyDescent="0.35"/>
    <row r="2422" s="13" customFormat="1" x14ac:dyDescent="0.35"/>
    <row r="2423" s="13" customFormat="1" x14ac:dyDescent="0.35"/>
    <row r="2424" s="13" customFormat="1" x14ac:dyDescent="0.35"/>
    <row r="2425" s="13" customFormat="1" x14ac:dyDescent="0.35"/>
    <row r="2426" s="13" customFormat="1" x14ac:dyDescent="0.35"/>
    <row r="2427" s="13" customFormat="1" x14ac:dyDescent="0.35"/>
    <row r="2428" s="13" customFormat="1" x14ac:dyDescent="0.35"/>
    <row r="2429" s="13" customFormat="1" x14ac:dyDescent="0.35"/>
    <row r="2430" s="13" customFormat="1" x14ac:dyDescent="0.35"/>
    <row r="2431" s="13" customFormat="1" x14ac:dyDescent="0.35"/>
    <row r="2432" s="13" customFormat="1" x14ac:dyDescent="0.35"/>
    <row r="2433" s="13" customFormat="1" x14ac:dyDescent="0.35"/>
    <row r="2434" s="13" customFormat="1" x14ac:dyDescent="0.35"/>
    <row r="2435" s="13" customFormat="1" x14ac:dyDescent="0.35"/>
    <row r="2436" s="13" customFormat="1" x14ac:dyDescent="0.35"/>
    <row r="2437" s="13" customFormat="1" x14ac:dyDescent="0.35"/>
    <row r="2438" s="13" customFormat="1" x14ac:dyDescent="0.35"/>
    <row r="2439" s="13" customFormat="1" x14ac:dyDescent="0.35"/>
    <row r="2440" s="13" customFormat="1" x14ac:dyDescent="0.35"/>
    <row r="2441" s="13" customFormat="1" x14ac:dyDescent="0.35"/>
    <row r="2442" s="13" customFormat="1" x14ac:dyDescent="0.35"/>
    <row r="2443" s="13" customFormat="1" x14ac:dyDescent="0.35"/>
    <row r="2444" s="13" customFormat="1" x14ac:dyDescent="0.35"/>
    <row r="2445" s="13" customFormat="1" x14ac:dyDescent="0.35"/>
    <row r="2446" s="13" customFormat="1" x14ac:dyDescent="0.35"/>
    <row r="2447" s="13" customFormat="1" x14ac:dyDescent="0.35"/>
    <row r="2448" s="13" customFormat="1" x14ac:dyDescent="0.35"/>
    <row r="2449" s="13" customFormat="1" x14ac:dyDescent="0.35"/>
    <row r="2450" s="13" customFormat="1" x14ac:dyDescent="0.35"/>
    <row r="2451" s="13" customFormat="1" x14ac:dyDescent="0.35"/>
    <row r="2452" s="13" customFormat="1" x14ac:dyDescent="0.35"/>
    <row r="2453" s="13" customFormat="1" x14ac:dyDescent="0.35"/>
    <row r="2454" s="13" customFormat="1" x14ac:dyDescent="0.35"/>
    <row r="2455" s="13" customFormat="1" x14ac:dyDescent="0.35"/>
    <row r="2456" s="13" customFormat="1" x14ac:dyDescent="0.35"/>
    <row r="2457" s="13" customFormat="1" x14ac:dyDescent="0.35"/>
    <row r="2458" s="13" customFormat="1" x14ac:dyDescent="0.35"/>
    <row r="2459" s="13" customFormat="1" x14ac:dyDescent="0.35"/>
    <row r="2460" s="13" customFormat="1" x14ac:dyDescent="0.35"/>
    <row r="2461" s="13" customFormat="1" x14ac:dyDescent="0.35"/>
    <row r="2462" s="13" customFormat="1" x14ac:dyDescent="0.35"/>
    <row r="2463" s="13" customFormat="1" x14ac:dyDescent="0.35"/>
    <row r="2464" s="13" customFormat="1" x14ac:dyDescent="0.35"/>
    <row r="2465" s="13" customFormat="1" x14ac:dyDescent="0.35"/>
    <row r="2466" s="13" customFormat="1" x14ac:dyDescent="0.35"/>
    <row r="2467" s="13" customFormat="1" x14ac:dyDescent="0.35"/>
    <row r="2468" s="13" customFormat="1" x14ac:dyDescent="0.35"/>
    <row r="2469" s="13" customFormat="1" x14ac:dyDescent="0.35"/>
    <row r="2470" s="13" customFormat="1" x14ac:dyDescent="0.35"/>
    <row r="2471" s="13" customFormat="1" x14ac:dyDescent="0.35"/>
    <row r="2472" s="13" customFormat="1" x14ac:dyDescent="0.35"/>
    <row r="2473" s="13" customFormat="1" x14ac:dyDescent="0.35"/>
    <row r="2474" s="13" customFormat="1" x14ac:dyDescent="0.35"/>
    <row r="2475" s="13" customFormat="1" x14ac:dyDescent="0.35"/>
    <row r="2476" s="13" customFormat="1" x14ac:dyDescent="0.35"/>
    <row r="2477" s="13" customFormat="1" x14ac:dyDescent="0.35"/>
    <row r="2478" s="13" customFormat="1" x14ac:dyDescent="0.35"/>
    <row r="2479" s="13" customFormat="1" x14ac:dyDescent="0.35"/>
    <row r="2480" s="13" customFormat="1" x14ac:dyDescent="0.35"/>
    <row r="2481" s="13" customFormat="1" x14ac:dyDescent="0.35"/>
    <row r="2482" s="13" customFormat="1" x14ac:dyDescent="0.35"/>
    <row r="2483" s="13" customFormat="1" x14ac:dyDescent="0.35"/>
    <row r="2484" s="13" customFormat="1" x14ac:dyDescent="0.35"/>
    <row r="2485" s="13" customFormat="1" x14ac:dyDescent="0.35"/>
    <row r="2486" s="13" customFormat="1" x14ac:dyDescent="0.35"/>
    <row r="2487" s="13" customFormat="1" x14ac:dyDescent="0.35"/>
    <row r="2488" s="13" customFormat="1" x14ac:dyDescent="0.35"/>
    <row r="2489" s="13" customFormat="1" x14ac:dyDescent="0.35"/>
    <row r="2490" s="13" customFormat="1" x14ac:dyDescent="0.35"/>
    <row r="2491" s="13" customFormat="1" x14ac:dyDescent="0.35"/>
    <row r="2492" s="13" customFormat="1" x14ac:dyDescent="0.35"/>
    <row r="2493" s="13" customFormat="1" x14ac:dyDescent="0.35"/>
    <row r="2494" s="13" customFormat="1" x14ac:dyDescent="0.35"/>
    <row r="2495" s="13" customFormat="1" x14ac:dyDescent="0.35"/>
    <row r="2496" s="13" customFormat="1" x14ac:dyDescent="0.35"/>
    <row r="2497" s="13" customFormat="1" x14ac:dyDescent="0.35"/>
    <row r="2498" s="13" customFormat="1" x14ac:dyDescent="0.35"/>
    <row r="2499" s="13" customFormat="1" x14ac:dyDescent="0.35"/>
    <row r="2500" s="13" customFormat="1" x14ac:dyDescent="0.35"/>
    <row r="2501" s="13" customFormat="1" x14ac:dyDescent="0.35"/>
    <row r="2502" s="13" customFormat="1" x14ac:dyDescent="0.35"/>
    <row r="2503" s="13" customFormat="1" x14ac:dyDescent="0.35"/>
    <row r="2504" s="13" customFormat="1" x14ac:dyDescent="0.35"/>
    <row r="2505" s="13" customFormat="1" x14ac:dyDescent="0.35"/>
    <row r="2506" s="13" customFormat="1" x14ac:dyDescent="0.35"/>
    <row r="2507" s="13" customFormat="1" x14ac:dyDescent="0.35"/>
    <row r="2508" s="13" customFormat="1" x14ac:dyDescent="0.35"/>
    <row r="2509" s="13" customFormat="1" x14ac:dyDescent="0.35"/>
    <row r="2510" s="13" customFormat="1" x14ac:dyDescent="0.35"/>
    <row r="2511" s="13" customFormat="1" x14ac:dyDescent="0.35"/>
    <row r="2512" s="13" customFormat="1" x14ac:dyDescent="0.35"/>
    <row r="2513" s="13" customFormat="1" x14ac:dyDescent="0.35"/>
    <row r="2514" s="13" customFormat="1" x14ac:dyDescent="0.35"/>
    <row r="2515" s="13" customFormat="1" x14ac:dyDescent="0.35"/>
    <row r="2516" s="13" customFormat="1" x14ac:dyDescent="0.35"/>
    <row r="2517" s="13" customFormat="1" x14ac:dyDescent="0.35"/>
    <row r="2518" s="13" customFormat="1" x14ac:dyDescent="0.35"/>
    <row r="2519" s="13" customFormat="1" x14ac:dyDescent="0.35"/>
    <row r="2520" s="13" customFormat="1" x14ac:dyDescent="0.35"/>
    <row r="2521" s="13" customFormat="1" x14ac:dyDescent="0.35"/>
    <row r="2522" s="13" customFormat="1" x14ac:dyDescent="0.35"/>
    <row r="2523" s="13" customFormat="1" x14ac:dyDescent="0.35"/>
    <row r="2524" s="13" customFormat="1" x14ac:dyDescent="0.35"/>
    <row r="2525" s="13" customFormat="1" x14ac:dyDescent="0.35"/>
    <row r="2526" s="13" customFormat="1" x14ac:dyDescent="0.35"/>
    <row r="2527" s="13" customFormat="1" x14ac:dyDescent="0.35"/>
    <row r="2528" s="13" customFormat="1" x14ac:dyDescent="0.35"/>
    <row r="2529" s="13" customFormat="1" x14ac:dyDescent="0.35"/>
    <row r="2530" s="13" customFormat="1" x14ac:dyDescent="0.35"/>
    <row r="2531" s="13" customFormat="1" x14ac:dyDescent="0.35"/>
    <row r="2532" s="13" customFormat="1" x14ac:dyDescent="0.35"/>
    <row r="2533" s="13" customFormat="1" x14ac:dyDescent="0.35"/>
    <row r="2534" s="13" customFormat="1" x14ac:dyDescent="0.35"/>
    <row r="2535" s="13" customFormat="1" x14ac:dyDescent="0.35"/>
    <row r="2536" s="13" customFormat="1" x14ac:dyDescent="0.35"/>
    <row r="2537" s="13" customFormat="1" x14ac:dyDescent="0.35"/>
    <row r="2538" s="13" customFormat="1" x14ac:dyDescent="0.35"/>
    <row r="2539" s="13" customFormat="1" x14ac:dyDescent="0.35"/>
    <row r="2540" s="13" customFormat="1" x14ac:dyDescent="0.35"/>
    <row r="2541" s="13" customFormat="1" x14ac:dyDescent="0.35"/>
    <row r="2542" s="13" customFormat="1" x14ac:dyDescent="0.35"/>
    <row r="2543" s="13" customFormat="1" x14ac:dyDescent="0.35"/>
    <row r="2544" s="13" customFormat="1" x14ac:dyDescent="0.35"/>
    <row r="2545" s="13" customFormat="1" x14ac:dyDescent="0.35"/>
    <row r="2546" s="13" customFormat="1" x14ac:dyDescent="0.35"/>
    <row r="2547" s="13" customFormat="1" x14ac:dyDescent="0.35"/>
    <row r="2548" s="13" customFormat="1" x14ac:dyDescent="0.35"/>
    <row r="2549" s="13" customFormat="1" x14ac:dyDescent="0.35"/>
    <row r="2550" s="13" customFormat="1" x14ac:dyDescent="0.35"/>
    <row r="2551" s="13" customFormat="1" x14ac:dyDescent="0.35"/>
    <row r="2552" s="13" customFormat="1" x14ac:dyDescent="0.35"/>
    <row r="2553" s="13" customFormat="1" x14ac:dyDescent="0.35"/>
    <row r="2554" s="13" customFormat="1" x14ac:dyDescent="0.35"/>
    <row r="2555" s="13" customFormat="1" x14ac:dyDescent="0.35"/>
    <row r="2556" s="13" customFormat="1" x14ac:dyDescent="0.35"/>
    <row r="2557" s="13" customFormat="1" x14ac:dyDescent="0.35"/>
    <row r="2558" s="13" customFormat="1" x14ac:dyDescent="0.35"/>
    <row r="2559" s="13" customFormat="1" x14ac:dyDescent="0.35"/>
    <row r="2560" s="13" customFormat="1" x14ac:dyDescent="0.35"/>
    <row r="2561" s="13" customFormat="1" x14ac:dyDescent="0.35"/>
    <row r="2562" s="13" customFormat="1" x14ac:dyDescent="0.35"/>
    <row r="2563" s="13" customFormat="1" x14ac:dyDescent="0.35"/>
    <row r="2564" s="13" customFormat="1" x14ac:dyDescent="0.35"/>
    <row r="2565" s="13" customFormat="1" x14ac:dyDescent="0.35"/>
    <row r="2566" s="13" customFormat="1" x14ac:dyDescent="0.35"/>
    <row r="2567" s="13" customFormat="1" x14ac:dyDescent="0.35"/>
    <row r="2568" s="13" customFormat="1" x14ac:dyDescent="0.35"/>
    <row r="2569" s="13" customFormat="1" x14ac:dyDescent="0.35"/>
    <row r="2570" s="13" customFormat="1" x14ac:dyDescent="0.35"/>
    <row r="2571" s="13" customFormat="1" x14ac:dyDescent="0.35"/>
    <row r="2572" s="13" customFormat="1" x14ac:dyDescent="0.35"/>
    <row r="2573" s="13" customFormat="1" x14ac:dyDescent="0.35"/>
    <row r="2574" s="13" customFormat="1" x14ac:dyDescent="0.35"/>
    <row r="2575" s="13" customFormat="1" x14ac:dyDescent="0.35"/>
    <row r="2576" s="13" customFormat="1" x14ac:dyDescent="0.35"/>
    <row r="2577" s="13" customFormat="1" x14ac:dyDescent="0.35"/>
    <row r="2578" s="13" customFormat="1" x14ac:dyDescent="0.35"/>
    <row r="2579" s="13" customFormat="1" x14ac:dyDescent="0.35"/>
    <row r="2580" s="13" customFormat="1" x14ac:dyDescent="0.35"/>
    <row r="2581" s="13" customFormat="1" x14ac:dyDescent="0.35"/>
    <row r="2582" s="13" customFormat="1" x14ac:dyDescent="0.35"/>
    <row r="2583" s="13" customFormat="1" x14ac:dyDescent="0.35"/>
    <row r="2584" s="13" customFormat="1" x14ac:dyDescent="0.35"/>
    <row r="2585" s="13" customFormat="1" x14ac:dyDescent="0.35"/>
    <row r="2586" s="13" customFormat="1" x14ac:dyDescent="0.35"/>
    <row r="2587" s="13" customFormat="1" x14ac:dyDescent="0.35"/>
    <row r="2588" s="13" customFormat="1" x14ac:dyDescent="0.35"/>
    <row r="2589" s="13" customFormat="1" x14ac:dyDescent="0.35"/>
    <row r="2590" s="13" customFormat="1" x14ac:dyDescent="0.35"/>
    <row r="2591" s="13" customFormat="1" x14ac:dyDescent="0.35"/>
    <row r="2592" s="13" customFormat="1" x14ac:dyDescent="0.35"/>
    <row r="2593" s="13" customFormat="1" x14ac:dyDescent="0.35"/>
    <row r="2594" s="13" customFormat="1" x14ac:dyDescent="0.35"/>
    <row r="2595" s="13" customFormat="1" x14ac:dyDescent="0.35"/>
    <row r="2596" s="13" customFormat="1" x14ac:dyDescent="0.35"/>
    <row r="2597" s="13" customFormat="1" x14ac:dyDescent="0.35"/>
    <row r="2598" s="13" customFormat="1" x14ac:dyDescent="0.35"/>
    <row r="2599" s="13" customFormat="1" x14ac:dyDescent="0.35"/>
    <row r="2600" s="13" customFormat="1" x14ac:dyDescent="0.35"/>
    <row r="2601" s="13" customFormat="1" x14ac:dyDescent="0.35"/>
    <row r="2602" s="13" customFormat="1" x14ac:dyDescent="0.35"/>
    <row r="2603" s="13" customFormat="1" x14ac:dyDescent="0.35"/>
    <row r="2604" s="13" customFormat="1" x14ac:dyDescent="0.35"/>
    <row r="2605" s="13" customFormat="1" x14ac:dyDescent="0.35"/>
    <row r="2606" s="13" customFormat="1" x14ac:dyDescent="0.35"/>
    <row r="2607" s="13" customFormat="1" x14ac:dyDescent="0.35"/>
    <row r="2608" s="13" customFormat="1" x14ac:dyDescent="0.35"/>
    <row r="2609" s="13" customFormat="1" x14ac:dyDescent="0.35"/>
    <row r="2610" s="13" customFormat="1" x14ac:dyDescent="0.35"/>
    <row r="2611" s="13" customFormat="1" x14ac:dyDescent="0.35"/>
    <row r="2612" s="13" customFormat="1" x14ac:dyDescent="0.35"/>
    <row r="2613" s="13" customFormat="1" x14ac:dyDescent="0.35"/>
    <row r="2614" s="13" customFormat="1" x14ac:dyDescent="0.35"/>
    <row r="2615" s="13" customFormat="1" x14ac:dyDescent="0.35"/>
    <row r="2616" s="13" customFormat="1" x14ac:dyDescent="0.35"/>
    <row r="2617" s="13" customFormat="1" x14ac:dyDescent="0.35"/>
    <row r="2618" s="13" customFormat="1" x14ac:dyDescent="0.35"/>
    <row r="2619" s="13" customFormat="1" x14ac:dyDescent="0.35"/>
    <row r="2620" s="13" customFormat="1" x14ac:dyDescent="0.35"/>
    <row r="2621" s="13" customFormat="1" x14ac:dyDescent="0.35"/>
    <row r="2622" s="13" customFormat="1" x14ac:dyDescent="0.35"/>
    <row r="2623" s="13" customFormat="1" x14ac:dyDescent="0.35"/>
    <row r="2624" s="13" customFormat="1" x14ac:dyDescent="0.35"/>
    <row r="2625" s="13" customFormat="1" x14ac:dyDescent="0.35"/>
    <row r="2626" s="13" customFormat="1" x14ac:dyDescent="0.35"/>
    <row r="2627" s="13" customFormat="1" x14ac:dyDescent="0.35"/>
    <row r="2628" s="13" customFormat="1" x14ac:dyDescent="0.35"/>
    <row r="2629" s="13" customFormat="1" x14ac:dyDescent="0.35"/>
    <row r="2630" s="13" customFormat="1" x14ac:dyDescent="0.35"/>
    <row r="2631" s="13" customFormat="1" x14ac:dyDescent="0.35"/>
    <row r="2632" s="13" customFormat="1" x14ac:dyDescent="0.35"/>
    <row r="2633" s="13" customFormat="1" x14ac:dyDescent="0.35"/>
    <row r="2634" s="13" customFormat="1" x14ac:dyDescent="0.35"/>
    <row r="2635" s="13" customFormat="1" x14ac:dyDescent="0.35"/>
    <row r="2636" s="13" customFormat="1" x14ac:dyDescent="0.35"/>
    <row r="2637" s="13" customFormat="1" x14ac:dyDescent="0.35"/>
    <row r="2638" s="13" customFormat="1" x14ac:dyDescent="0.35"/>
    <row r="2639" s="13" customFormat="1" x14ac:dyDescent="0.35"/>
    <row r="2640" s="13" customFormat="1" x14ac:dyDescent="0.35"/>
    <row r="2641" s="13" customFormat="1" x14ac:dyDescent="0.35"/>
    <row r="2642" s="13" customFormat="1" x14ac:dyDescent="0.35"/>
    <row r="2643" s="13" customFormat="1" x14ac:dyDescent="0.35"/>
    <row r="2644" s="13" customFormat="1" x14ac:dyDescent="0.35"/>
    <row r="2645" s="13" customFormat="1" x14ac:dyDescent="0.35"/>
    <row r="2646" s="13" customFormat="1" x14ac:dyDescent="0.35"/>
    <row r="2647" s="13" customFormat="1" x14ac:dyDescent="0.35"/>
    <row r="2648" s="13" customFormat="1" x14ac:dyDescent="0.35"/>
    <row r="2649" s="13" customFormat="1" x14ac:dyDescent="0.35"/>
    <row r="2650" s="13" customFormat="1" x14ac:dyDescent="0.35"/>
    <row r="2651" s="13" customFormat="1" x14ac:dyDescent="0.35"/>
    <row r="2652" s="13" customFormat="1" x14ac:dyDescent="0.35"/>
    <row r="2653" s="13" customFormat="1" x14ac:dyDescent="0.35"/>
    <row r="2654" s="13" customFormat="1" x14ac:dyDescent="0.35"/>
    <row r="2655" s="13" customFormat="1" x14ac:dyDescent="0.35"/>
    <row r="2656" s="13" customFormat="1" x14ac:dyDescent="0.35"/>
    <row r="2657" s="13" customFormat="1" x14ac:dyDescent="0.35"/>
    <row r="2658" s="13" customFormat="1" x14ac:dyDescent="0.35"/>
    <row r="2659" s="13" customFormat="1" x14ac:dyDescent="0.35"/>
    <row r="2660" s="13" customFormat="1" x14ac:dyDescent="0.35"/>
    <row r="2661" s="13" customFormat="1" x14ac:dyDescent="0.35"/>
    <row r="2662" s="13" customFormat="1" x14ac:dyDescent="0.35"/>
    <row r="2663" s="13" customFormat="1" x14ac:dyDescent="0.35"/>
    <row r="2664" s="13" customFormat="1" x14ac:dyDescent="0.35"/>
    <row r="2665" s="13" customFormat="1" x14ac:dyDescent="0.35"/>
    <row r="2666" s="13" customFormat="1" x14ac:dyDescent="0.35"/>
    <row r="2667" s="13" customFormat="1" x14ac:dyDescent="0.35"/>
    <row r="2668" s="13" customFormat="1" x14ac:dyDescent="0.35"/>
    <row r="2669" s="13" customFormat="1" x14ac:dyDescent="0.35"/>
    <row r="2670" s="13" customFormat="1" x14ac:dyDescent="0.35"/>
    <row r="2671" s="13" customFormat="1" x14ac:dyDescent="0.35"/>
    <row r="2672" s="13" customFormat="1" x14ac:dyDescent="0.35"/>
    <row r="2673" s="13" customFormat="1" x14ac:dyDescent="0.35"/>
    <row r="2674" s="13" customFormat="1" x14ac:dyDescent="0.35"/>
    <row r="2675" s="13" customFormat="1" x14ac:dyDescent="0.35"/>
    <row r="2676" s="13" customFormat="1" x14ac:dyDescent="0.35"/>
    <row r="2677" s="13" customFormat="1" x14ac:dyDescent="0.35"/>
    <row r="2678" s="13" customFormat="1" x14ac:dyDescent="0.35"/>
    <row r="2679" s="13" customFormat="1" x14ac:dyDescent="0.35"/>
    <row r="2680" s="13" customFormat="1" x14ac:dyDescent="0.35"/>
    <row r="2681" s="13" customFormat="1" x14ac:dyDescent="0.35"/>
    <row r="2682" s="13" customFormat="1" x14ac:dyDescent="0.35"/>
    <row r="2683" s="13" customFormat="1" x14ac:dyDescent="0.35"/>
    <row r="2684" s="13" customFormat="1" x14ac:dyDescent="0.35"/>
    <row r="2685" s="13" customFormat="1" x14ac:dyDescent="0.35"/>
    <row r="2686" s="13" customFormat="1" x14ac:dyDescent="0.35"/>
    <row r="2687" s="13" customFormat="1" x14ac:dyDescent="0.35"/>
    <row r="2688" s="13" customFormat="1" x14ac:dyDescent="0.35"/>
    <row r="2689" s="13" customFormat="1" x14ac:dyDescent="0.35"/>
    <row r="2690" s="13" customFormat="1" x14ac:dyDescent="0.35"/>
    <row r="2691" s="13" customFormat="1" x14ac:dyDescent="0.35"/>
    <row r="2692" s="13" customFormat="1" x14ac:dyDescent="0.35"/>
    <row r="2693" s="13" customFormat="1" x14ac:dyDescent="0.35"/>
    <row r="2694" s="13" customFormat="1" x14ac:dyDescent="0.35"/>
    <row r="2695" s="13" customFormat="1" x14ac:dyDescent="0.35"/>
    <row r="2696" s="13" customFormat="1" x14ac:dyDescent="0.35"/>
    <row r="2697" s="13" customFormat="1" x14ac:dyDescent="0.35"/>
    <row r="2698" s="13" customFormat="1" x14ac:dyDescent="0.35"/>
    <row r="2699" s="13" customFormat="1" x14ac:dyDescent="0.35"/>
    <row r="2700" s="13" customFormat="1" x14ac:dyDescent="0.35"/>
    <row r="2701" s="13" customFormat="1" x14ac:dyDescent="0.35"/>
    <row r="2702" s="13" customFormat="1" x14ac:dyDescent="0.35"/>
    <row r="2703" s="13" customFormat="1" x14ac:dyDescent="0.35"/>
    <row r="2704" s="13" customFormat="1" x14ac:dyDescent="0.35"/>
    <row r="2705" s="13" customFormat="1" x14ac:dyDescent="0.35"/>
    <row r="2706" s="13" customFormat="1" x14ac:dyDescent="0.35"/>
    <row r="2707" s="13" customFormat="1" x14ac:dyDescent="0.35"/>
    <row r="2708" s="13" customFormat="1" x14ac:dyDescent="0.35"/>
    <row r="2709" s="13" customFormat="1" x14ac:dyDescent="0.35"/>
    <row r="2710" s="13" customFormat="1" x14ac:dyDescent="0.35"/>
    <row r="2711" s="13" customFormat="1" x14ac:dyDescent="0.35"/>
    <row r="2712" s="13" customFormat="1" x14ac:dyDescent="0.35"/>
    <row r="2713" s="13" customFormat="1" x14ac:dyDescent="0.35"/>
    <row r="2714" s="13" customFormat="1" x14ac:dyDescent="0.35"/>
    <row r="2715" s="13" customFormat="1" x14ac:dyDescent="0.35"/>
    <row r="2716" s="13" customFormat="1" x14ac:dyDescent="0.35"/>
    <row r="2717" s="13" customFormat="1" x14ac:dyDescent="0.35"/>
    <row r="2718" s="13" customFormat="1" x14ac:dyDescent="0.35"/>
    <row r="2719" s="13" customFormat="1" x14ac:dyDescent="0.35"/>
    <row r="2720" s="13" customFormat="1" x14ac:dyDescent="0.35"/>
    <row r="2721" s="13" customFormat="1" x14ac:dyDescent="0.35"/>
    <row r="2722" s="13" customFormat="1" x14ac:dyDescent="0.35"/>
    <row r="2723" s="13" customFormat="1" x14ac:dyDescent="0.35"/>
    <row r="2724" s="13" customFormat="1" x14ac:dyDescent="0.35"/>
    <row r="2725" s="13" customFormat="1" x14ac:dyDescent="0.35"/>
    <row r="2726" s="13" customFormat="1" x14ac:dyDescent="0.35"/>
    <row r="2727" s="13" customFormat="1" x14ac:dyDescent="0.35"/>
    <row r="2728" s="13" customFormat="1" x14ac:dyDescent="0.35"/>
    <row r="2729" s="13" customFormat="1" x14ac:dyDescent="0.35"/>
    <row r="2730" s="13" customFormat="1" x14ac:dyDescent="0.35"/>
    <row r="2731" s="13" customFormat="1" x14ac:dyDescent="0.35"/>
    <row r="2732" s="13" customFormat="1" x14ac:dyDescent="0.35"/>
    <row r="2733" s="13" customFormat="1" x14ac:dyDescent="0.35"/>
    <row r="2734" s="13" customFormat="1" x14ac:dyDescent="0.35"/>
    <row r="2735" s="13" customFormat="1" x14ac:dyDescent="0.35"/>
    <row r="2736" s="13" customFormat="1" x14ac:dyDescent="0.35"/>
    <row r="2737" s="13" customFormat="1" x14ac:dyDescent="0.35"/>
    <row r="2738" s="13" customFormat="1" x14ac:dyDescent="0.35"/>
    <row r="2739" s="13" customFormat="1" x14ac:dyDescent="0.35"/>
    <row r="2740" s="13" customFormat="1" x14ac:dyDescent="0.35"/>
    <row r="2741" s="13" customFormat="1" x14ac:dyDescent="0.35"/>
    <row r="2742" s="13" customFormat="1" x14ac:dyDescent="0.35"/>
    <row r="2743" s="13" customFormat="1" x14ac:dyDescent="0.35"/>
    <row r="2744" s="13" customFormat="1" x14ac:dyDescent="0.35"/>
    <row r="2745" s="13" customFormat="1" x14ac:dyDescent="0.35"/>
    <row r="2746" s="13" customFormat="1" x14ac:dyDescent="0.35"/>
    <row r="2747" s="13" customFormat="1" x14ac:dyDescent="0.35"/>
    <row r="2748" s="13" customFormat="1" x14ac:dyDescent="0.35"/>
    <row r="2749" s="13" customFormat="1" x14ac:dyDescent="0.35"/>
    <row r="2750" s="13" customFormat="1" x14ac:dyDescent="0.35"/>
    <row r="2751" s="13" customFormat="1" x14ac:dyDescent="0.35"/>
    <row r="2752" s="13" customFormat="1" x14ac:dyDescent="0.35"/>
    <row r="2753" s="13" customFormat="1" x14ac:dyDescent="0.35"/>
    <row r="2754" s="13" customFormat="1" x14ac:dyDescent="0.35"/>
    <row r="2755" s="13" customFormat="1" x14ac:dyDescent="0.35"/>
    <row r="2756" s="13" customFormat="1" x14ac:dyDescent="0.35"/>
    <row r="2757" s="13" customFormat="1" x14ac:dyDescent="0.35"/>
    <row r="2758" s="13" customFormat="1" x14ac:dyDescent="0.35"/>
    <row r="2759" s="13" customFormat="1" x14ac:dyDescent="0.35"/>
    <row r="2760" s="13" customFormat="1" x14ac:dyDescent="0.35"/>
    <row r="2761" s="13" customFormat="1" x14ac:dyDescent="0.35"/>
    <row r="2762" s="13" customFormat="1" x14ac:dyDescent="0.35"/>
    <row r="2763" s="13" customFormat="1" x14ac:dyDescent="0.35"/>
    <row r="2764" s="13" customFormat="1" x14ac:dyDescent="0.35"/>
    <row r="2765" s="13" customFormat="1" x14ac:dyDescent="0.35"/>
    <row r="2766" s="13" customFormat="1" x14ac:dyDescent="0.35"/>
    <row r="2767" s="13" customFormat="1" x14ac:dyDescent="0.35"/>
    <row r="2768" s="13" customFormat="1" x14ac:dyDescent="0.35"/>
    <row r="2769" s="13" customFormat="1" x14ac:dyDescent="0.35"/>
    <row r="2770" s="13" customFormat="1" x14ac:dyDescent="0.35"/>
    <row r="2771" s="13" customFormat="1" x14ac:dyDescent="0.35"/>
    <row r="2772" s="13" customFormat="1" x14ac:dyDescent="0.35"/>
    <row r="2773" s="13" customFormat="1" x14ac:dyDescent="0.35"/>
    <row r="2774" s="13" customFormat="1" x14ac:dyDescent="0.35"/>
    <row r="2775" s="13" customFormat="1" x14ac:dyDescent="0.35"/>
    <row r="2776" s="13" customFormat="1" x14ac:dyDescent="0.35"/>
    <row r="2777" s="13" customFormat="1" x14ac:dyDescent="0.35"/>
    <row r="2778" s="13" customFormat="1" x14ac:dyDescent="0.35"/>
    <row r="2779" s="13" customFormat="1" x14ac:dyDescent="0.35"/>
    <row r="2780" s="13" customFormat="1" x14ac:dyDescent="0.35"/>
    <row r="2781" s="13" customFormat="1" x14ac:dyDescent="0.35"/>
    <row r="2782" s="13" customFormat="1" x14ac:dyDescent="0.35"/>
    <row r="2783" s="13" customFormat="1" x14ac:dyDescent="0.35"/>
    <row r="2784" s="13" customFormat="1" x14ac:dyDescent="0.35"/>
    <row r="2785" s="13" customFormat="1" x14ac:dyDescent="0.35"/>
    <row r="2786" s="13" customFormat="1" x14ac:dyDescent="0.35"/>
    <row r="2787" s="13" customFormat="1" x14ac:dyDescent="0.35"/>
    <row r="2788" s="13" customFormat="1" x14ac:dyDescent="0.35"/>
    <row r="2789" s="13" customFormat="1" x14ac:dyDescent="0.35"/>
    <row r="2790" s="13" customFormat="1" x14ac:dyDescent="0.35"/>
    <row r="2791" s="13" customFormat="1" x14ac:dyDescent="0.35"/>
    <row r="2792" s="13" customFormat="1" x14ac:dyDescent="0.35"/>
    <row r="2793" s="13" customFormat="1" x14ac:dyDescent="0.35"/>
    <row r="2794" s="13" customFormat="1" x14ac:dyDescent="0.35"/>
    <row r="2795" s="13" customFormat="1" x14ac:dyDescent="0.35"/>
    <row r="2796" s="13" customFormat="1" x14ac:dyDescent="0.35"/>
    <row r="2797" s="13" customFormat="1" x14ac:dyDescent="0.35"/>
    <row r="2798" s="13" customFormat="1" x14ac:dyDescent="0.35"/>
    <row r="2799" s="13" customFormat="1" x14ac:dyDescent="0.35"/>
    <row r="2800" s="13" customFormat="1" x14ac:dyDescent="0.35"/>
    <row r="2801" s="13" customFormat="1" x14ac:dyDescent="0.35"/>
    <row r="2802" s="13" customFormat="1" x14ac:dyDescent="0.35"/>
    <row r="2803" s="13" customFormat="1" x14ac:dyDescent="0.35"/>
    <row r="2804" s="13" customFormat="1" x14ac:dyDescent="0.35"/>
    <row r="2805" s="13" customFormat="1" x14ac:dyDescent="0.35"/>
    <row r="2806" s="13" customFormat="1" x14ac:dyDescent="0.35"/>
    <row r="2807" s="13" customFormat="1" x14ac:dyDescent="0.35"/>
    <row r="2808" s="13" customFormat="1" x14ac:dyDescent="0.35"/>
    <row r="2809" s="13" customFormat="1" x14ac:dyDescent="0.35"/>
    <row r="2810" s="13" customFormat="1" x14ac:dyDescent="0.35"/>
    <row r="2811" s="13" customFormat="1" x14ac:dyDescent="0.35"/>
    <row r="2812" s="13" customFormat="1" x14ac:dyDescent="0.35"/>
    <row r="2813" s="13" customFormat="1" x14ac:dyDescent="0.35"/>
    <row r="2814" s="13" customFormat="1" x14ac:dyDescent="0.35"/>
    <row r="2815" s="13" customFormat="1" x14ac:dyDescent="0.35"/>
    <row r="2816" s="13" customFormat="1" x14ac:dyDescent="0.35"/>
    <row r="2817" s="13" customFormat="1" x14ac:dyDescent="0.35"/>
    <row r="2818" s="13" customFormat="1" x14ac:dyDescent="0.35"/>
    <row r="2819" s="13" customFormat="1" x14ac:dyDescent="0.35"/>
    <row r="2820" s="13" customFormat="1" x14ac:dyDescent="0.35"/>
    <row r="2821" s="13" customFormat="1" x14ac:dyDescent="0.35"/>
    <row r="2822" s="13" customFormat="1" x14ac:dyDescent="0.35"/>
    <row r="2823" s="13" customFormat="1" x14ac:dyDescent="0.35"/>
    <row r="2824" s="13" customFormat="1" x14ac:dyDescent="0.35"/>
    <row r="2825" s="13" customFormat="1" x14ac:dyDescent="0.35"/>
    <row r="2826" s="13" customFormat="1" x14ac:dyDescent="0.35"/>
    <row r="2827" s="13" customFormat="1" x14ac:dyDescent="0.35"/>
    <row r="2828" s="13" customFormat="1" x14ac:dyDescent="0.35"/>
    <row r="2829" s="13" customFormat="1" x14ac:dyDescent="0.35"/>
    <row r="2830" s="13" customFormat="1" x14ac:dyDescent="0.35"/>
    <row r="2831" s="13" customFormat="1" x14ac:dyDescent="0.35"/>
    <row r="2832" s="13" customFormat="1" x14ac:dyDescent="0.35"/>
    <row r="2833" s="13" customFormat="1" x14ac:dyDescent="0.35"/>
    <row r="2834" s="13" customFormat="1" x14ac:dyDescent="0.35"/>
    <row r="2835" s="13" customFormat="1" x14ac:dyDescent="0.35"/>
    <row r="2836" s="13" customFormat="1" x14ac:dyDescent="0.35"/>
    <row r="2837" s="13" customFormat="1" x14ac:dyDescent="0.35"/>
    <row r="2838" s="13" customFormat="1" x14ac:dyDescent="0.35"/>
    <row r="2839" s="13" customFormat="1" x14ac:dyDescent="0.35"/>
    <row r="2840" s="13" customFormat="1" x14ac:dyDescent="0.35"/>
    <row r="2841" s="13" customFormat="1" x14ac:dyDescent="0.35"/>
    <row r="2842" s="13" customFormat="1" x14ac:dyDescent="0.35"/>
    <row r="2843" s="13" customFormat="1" x14ac:dyDescent="0.35"/>
    <row r="2844" s="13" customFormat="1" x14ac:dyDescent="0.35"/>
    <row r="2845" s="13" customFormat="1" x14ac:dyDescent="0.35"/>
    <row r="2846" s="13" customFormat="1" x14ac:dyDescent="0.35"/>
    <row r="2847" s="13" customFormat="1" x14ac:dyDescent="0.35"/>
    <row r="2848" s="13" customFormat="1" x14ac:dyDescent="0.35"/>
    <row r="2849" s="13" customFormat="1" x14ac:dyDescent="0.35"/>
    <row r="2850" s="13" customFormat="1" x14ac:dyDescent="0.35"/>
    <row r="2851" s="13" customFormat="1" x14ac:dyDescent="0.35"/>
    <row r="2852" s="13" customFormat="1" x14ac:dyDescent="0.35"/>
    <row r="2853" s="13" customFormat="1" x14ac:dyDescent="0.35"/>
    <row r="2854" s="13" customFormat="1" x14ac:dyDescent="0.35"/>
    <row r="2855" s="13" customFormat="1" x14ac:dyDescent="0.35"/>
    <row r="2856" s="13" customFormat="1" x14ac:dyDescent="0.35"/>
    <row r="2857" s="13" customFormat="1" x14ac:dyDescent="0.35"/>
    <row r="2858" s="13" customFormat="1" x14ac:dyDescent="0.35"/>
    <row r="2859" s="13" customFormat="1" x14ac:dyDescent="0.35"/>
    <row r="2860" s="13" customFormat="1" x14ac:dyDescent="0.35"/>
    <row r="2861" s="13" customFormat="1" x14ac:dyDescent="0.35"/>
    <row r="2862" s="13" customFormat="1" x14ac:dyDescent="0.35"/>
    <row r="2863" s="13" customFormat="1" x14ac:dyDescent="0.35"/>
    <row r="2864" s="13" customFormat="1" x14ac:dyDescent="0.35"/>
    <row r="2865" s="13" customFormat="1" x14ac:dyDescent="0.35"/>
    <row r="2866" s="13" customFormat="1" x14ac:dyDescent="0.35"/>
    <row r="2867" s="13" customFormat="1" x14ac:dyDescent="0.35"/>
    <row r="2868" s="13" customFormat="1" x14ac:dyDescent="0.35"/>
    <row r="2869" s="13" customFormat="1" x14ac:dyDescent="0.35"/>
    <row r="2870" s="13" customFormat="1" x14ac:dyDescent="0.35"/>
    <row r="2871" s="13" customFormat="1" x14ac:dyDescent="0.35"/>
    <row r="2872" s="13" customFormat="1" x14ac:dyDescent="0.35"/>
    <row r="2873" s="13" customFormat="1" x14ac:dyDescent="0.35"/>
    <row r="2874" s="13" customFormat="1" x14ac:dyDescent="0.35"/>
    <row r="2875" s="13" customFormat="1" x14ac:dyDescent="0.35"/>
    <row r="2876" s="13" customFormat="1" x14ac:dyDescent="0.35"/>
    <row r="2877" s="13" customFormat="1" x14ac:dyDescent="0.35"/>
    <row r="2878" s="13" customFormat="1" x14ac:dyDescent="0.35"/>
    <row r="2879" s="13" customFormat="1" x14ac:dyDescent="0.35"/>
    <row r="2880" s="13" customFormat="1" x14ac:dyDescent="0.35"/>
    <row r="2881" s="13" customFormat="1" x14ac:dyDescent="0.35"/>
    <row r="2882" s="13" customFormat="1" x14ac:dyDescent="0.35"/>
    <row r="2883" s="13" customFormat="1" x14ac:dyDescent="0.35"/>
    <row r="2884" s="13" customFormat="1" x14ac:dyDescent="0.35"/>
    <row r="2885" s="13" customFormat="1" x14ac:dyDescent="0.35"/>
    <row r="2886" s="13" customFormat="1" x14ac:dyDescent="0.35"/>
    <row r="2887" s="13" customFormat="1" x14ac:dyDescent="0.35"/>
    <row r="2888" s="13" customFormat="1" x14ac:dyDescent="0.35"/>
    <row r="2889" s="13" customFormat="1" x14ac:dyDescent="0.35"/>
    <row r="2890" s="13" customFormat="1" x14ac:dyDescent="0.35"/>
    <row r="2891" s="13" customFormat="1" x14ac:dyDescent="0.35"/>
    <row r="2892" s="13" customFormat="1" x14ac:dyDescent="0.35"/>
    <row r="2893" s="13" customFormat="1" x14ac:dyDescent="0.35"/>
    <row r="2894" s="13" customFormat="1" x14ac:dyDescent="0.35"/>
    <row r="2895" s="13" customFormat="1" x14ac:dyDescent="0.35"/>
    <row r="2896" s="13" customFormat="1" x14ac:dyDescent="0.35"/>
    <row r="2897" s="13" customFormat="1" x14ac:dyDescent="0.35"/>
    <row r="2898" s="13" customFormat="1" x14ac:dyDescent="0.35"/>
    <row r="2899" s="13" customFormat="1" x14ac:dyDescent="0.35"/>
    <row r="2900" s="13" customFormat="1" x14ac:dyDescent="0.35"/>
    <row r="2901" s="13" customFormat="1" x14ac:dyDescent="0.35"/>
    <row r="2902" s="13" customFormat="1" x14ac:dyDescent="0.35"/>
    <row r="2903" s="13" customFormat="1" x14ac:dyDescent="0.35"/>
    <row r="2904" s="13" customFormat="1" x14ac:dyDescent="0.35"/>
    <row r="2905" s="13" customFormat="1" x14ac:dyDescent="0.35"/>
    <row r="2906" s="13" customFormat="1" x14ac:dyDescent="0.35"/>
    <row r="2907" s="13" customFormat="1" x14ac:dyDescent="0.35"/>
    <row r="2908" s="13" customFormat="1" x14ac:dyDescent="0.35"/>
    <row r="2909" s="13" customFormat="1" x14ac:dyDescent="0.35"/>
    <row r="2910" s="13" customFormat="1" x14ac:dyDescent="0.35"/>
    <row r="2911" s="13" customFormat="1" x14ac:dyDescent="0.35"/>
    <row r="2912" s="13" customFormat="1" x14ac:dyDescent="0.35"/>
    <row r="2913" s="13" customFormat="1" x14ac:dyDescent="0.35"/>
    <row r="2914" s="13" customFormat="1" x14ac:dyDescent="0.35"/>
    <row r="2915" s="13" customFormat="1" x14ac:dyDescent="0.35"/>
    <row r="2916" s="13" customFormat="1" x14ac:dyDescent="0.35"/>
    <row r="2917" s="13" customFormat="1" x14ac:dyDescent="0.35"/>
    <row r="2918" s="13" customFormat="1" x14ac:dyDescent="0.35"/>
    <row r="2919" s="13" customFormat="1" x14ac:dyDescent="0.35"/>
    <row r="2920" s="13" customFormat="1" x14ac:dyDescent="0.35"/>
    <row r="2921" s="13" customFormat="1" x14ac:dyDescent="0.35"/>
    <row r="2922" s="13" customFormat="1" x14ac:dyDescent="0.35"/>
    <row r="2923" s="13" customFormat="1" x14ac:dyDescent="0.35"/>
    <row r="2924" s="13" customFormat="1" x14ac:dyDescent="0.35"/>
    <row r="2925" s="13" customFormat="1" x14ac:dyDescent="0.35"/>
    <row r="2926" s="13" customFormat="1" x14ac:dyDescent="0.35"/>
    <row r="2927" s="13" customFormat="1" x14ac:dyDescent="0.35"/>
    <row r="2928" s="13" customFormat="1" x14ac:dyDescent="0.35"/>
    <row r="2929" s="13" customFormat="1" x14ac:dyDescent="0.35"/>
    <row r="2930" s="13" customFormat="1" x14ac:dyDescent="0.35"/>
    <row r="2931" s="13" customFormat="1" x14ac:dyDescent="0.35"/>
    <row r="2932" s="13" customFormat="1" x14ac:dyDescent="0.35"/>
    <row r="2933" s="13" customFormat="1" x14ac:dyDescent="0.35"/>
    <row r="2934" s="13" customFormat="1" x14ac:dyDescent="0.35"/>
    <row r="2935" s="13" customFormat="1" x14ac:dyDescent="0.35"/>
    <row r="2936" s="13" customFormat="1" x14ac:dyDescent="0.35"/>
    <row r="2937" s="13" customFormat="1" x14ac:dyDescent="0.35"/>
    <row r="2938" s="13" customFormat="1" x14ac:dyDescent="0.35"/>
    <row r="2939" s="13" customFormat="1" x14ac:dyDescent="0.35"/>
    <row r="2940" s="13" customFormat="1" x14ac:dyDescent="0.35"/>
    <row r="2941" s="13" customFormat="1" x14ac:dyDescent="0.35"/>
    <row r="2942" s="13" customFormat="1" x14ac:dyDescent="0.35"/>
    <row r="2943" s="13" customFormat="1" x14ac:dyDescent="0.35"/>
    <row r="2944" s="13" customFormat="1" x14ac:dyDescent="0.35"/>
    <row r="2945" s="13" customFormat="1" x14ac:dyDescent="0.35"/>
    <row r="2946" s="13" customFormat="1" x14ac:dyDescent="0.35"/>
    <row r="2947" s="13" customFormat="1" x14ac:dyDescent="0.35"/>
    <row r="2948" s="13" customFormat="1" x14ac:dyDescent="0.35"/>
    <row r="2949" s="13" customFormat="1" x14ac:dyDescent="0.35"/>
    <row r="2950" s="13" customFormat="1" x14ac:dyDescent="0.35"/>
    <row r="2951" s="13" customFormat="1" x14ac:dyDescent="0.35"/>
    <row r="2952" s="13" customFormat="1" x14ac:dyDescent="0.35"/>
    <row r="2953" s="13" customFormat="1" x14ac:dyDescent="0.35"/>
    <row r="2954" s="13" customFormat="1" x14ac:dyDescent="0.35"/>
    <row r="2955" s="13" customFormat="1" x14ac:dyDescent="0.35"/>
    <row r="2956" s="13" customFormat="1" x14ac:dyDescent="0.35"/>
    <row r="2957" s="13" customFormat="1" x14ac:dyDescent="0.35"/>
    <row r="2958" s="13" customFormat="1" x14ac:dyDescent="0.35"/>
    <row r="2959" s="13" customFormat="1" x14ac:dyDescent="0.35"/>
    <row r="2960" s="13" customFormat="1" x14ac:dyDescent="0.35"/>
    <row r="2961" s="13" customFormat="1" x14ac:dyDescent="0.35"/>
    <row r="2962" s="13" customFormat="1" x14ac:dyDescent="0.35"/>
    <row r="2963" s="13" customFormat="1" x14ac:dyDescent="0.35"/>
    <row r="2964" s="13" customFormat="1" x14ac:dyDescent="0.35"/>
    <row r="2965" s="13" customFormat="1" x14ac:dyDescent="0.35"/>
    <row r="2966" s="13" customFormat="1" x14ac:dyDescent="0.35"/>
    <row r="2967" s="13" customFormat="1" x14ac:dyDescent="0.35"/>
    <row r="2968" s="13" customFormat="1" x14ac:dyDescent="0.35"/>
    <row r="2969" s="13" customFormat="1" x14ac:dyDescent="0.35"/>
    <row r="2970" s="13" customFormat="1" x14ac:dyDescent="0.35"/>
    <row r="2971" s="13" customFormat="1" x14ac:dyDescent="0.35"/>
    <row r="2972" s="13" customFormat="1" x14ac:dyDescent="0.35"/>
    <row r="2973" s="13" customFormat="1" x14ac:dyDescent="0.35"/>
    <row r="2974" s="13" customFormat="1" x14ac:dyDescent="0.35"/>
    <row r="2975" s="13" customFormat="1" x14ac:dyDescent="0.35"/>
    <row r="2976" s="13" customFormat="1" x14ac:dyDescent="0.35"/>
    <row r="2977" s="13" customFormat="1" x14ac:dyDescent="0.35"/>
    <row r="2978" s="13" customFormat="1" x14ac:dyDescent="0.35"/>
    <row r="2979" s="13" customFormat="1" x14ac:dyDescent="0.35"/>
    <row r="2980" s="13" customFormat="1" x14ac:dyDescent="0.35"/>
    <row r="2981" s="13" customFormat="1" x14ac:dyDescent="0.35"/>
    <row r="2982" s="13" customFormat="1" x14ac:dyDescent="0.35"/>
    <row r="2983" s="13" customFormat="1" x14ac:dyDescent="0.35"/>
    <row r="2984" s="13" customFormat="1" x14ac:dyDescent="0.35"/>
    <row r="2985" s="13" customFormat="1" x14ac:dyDescent="0.35"/>
    <row r="2986" s="13" customFormat="1" x14ac:dyDescent="0.35"/>
    <row r="2987" s="13" customFormat="1" x14ac:dyDescent="0.35"/>
    <row r="2988" s="13" customFormat="1" x14ac:dyDescent="0.35"/>
    <row r="2989" s="13" customFormat="1" x14ac:dyDescent="0.35"/>
    <row r="2990" s="13" customFormat="1" x14ac:dyDescent="0.35"/>
    <row r="2991" s="13" customFormat="1" x14ac:dyDescent="0.35"/>
    <row r="2992" s="13" customFormat="1" x14ac:dyDescent="0.35"/>
    <row r="2993" s="13" customFormat="1" x14ac:dyDescent="0.35"/>
    <row r="2994" s="13" customFormat="1" x14ac:dyDescent="0.35"/>
    <row r="2995" s="13" customFormat="1" x14ac:dyDescent="0.35"/>
    <row r="2996" s="13" customFormat="1" x14ac:dyDescent="0.35"/>
    <row r="2997" s="13" customFormat="1" x14ac:dyDescent="0.35"/>
    <row r="2998" s="13" customFormat="1" x14ac:dyDescent="0.35"/>
    <row r="2999" s="13" customFormat="1" x14ac:dyDescent="0.35"/>
    <row r="3000" s="13" customFormat="1" x14ac:dyDescent="0.35"/>
    <row r="3001" s="13" customFormat="1" x14ac:dyDescent="0.35"/>
    <row r="3002" s="13" customFormat="1" x14ac:dyDescent="0.35"/>
    <row r="3003" s="13" customFormat="1" x14ac:dyDescent="0.35"/>
    <row r="3004" s="13" customFormat="1" x14ac:dyDescent="0.35"/>
    <row r="3005" s="13" customFormat="1" x14ac:dyDescent="0.35"/>
    <row r="3006" s="13" customFormat="1" x14ac:dyDescent="0.35"/>
    <row r="3007" s="13" customFormat="1" x14ac:dyDescent="0.35"/>
    <row r="3008" s="13" customFormat="1" x14ac:dyDescent="0.35"/>
    <row r="3009" s="13" customFormat="1" x14ac:dyDescent="0.35"/>
    <row r="3010" s="13" customFormat="1" x14ac:dyDescent="0.35"/>
    <row r="3011" s="13" customFormat="1" x14ac:dyDescent="0.35"/>
    <row r="3012" s="13" customFormat="1" x14ac:dyDescent="0.35"/>
    <row r="3013" s="13" customFormat="1" x14ac:dyDescent="0.35"/>
    <row r="3014" s="13" customFormat="1" x14ac:dyDescent="0.35"/>
    <row r="3015" s="13" customFormat="1" x14ac:dyDescent="0.35"/>
    <row r="3016" s="13" customFormat="1" x14ac:dyDescent="0.35"/>
    <row r="3017" s="13" customFormat="1" x14ac:dyDescent="0.35"/>
    <row r="3018" s="13" customFormat="1" x14ac:dyDescent="0.35"/>
    <row r="3019" s="13" customFormat="1" x14ac:dyDescent="0.35"/>
    <row r="3020" s="13" customFormat="1" x14ac:dyDescent="0.35"/>
    <row r="3021" s="13" customFormat="1" x14ac:dyDescent="0.35"/>
    <row r="3022" s="13" customFormat="1" x14ac:dyDescent="0.35"/>
    <row r="3023" s="13" customFormat="1" x14ac:dyDescent="0.35"/>
    <row r="3024" s="13" customFormat="1" x14ac:dyDescent="0.35"/>
    <row r="3025" s="13" customFormat="1" x14ac:dyDescent="0.35"/>
    <row r="3026" s="13" customFormat="1" x14ac:dyDescent="0.35"/>
    <row r="3027" s="13" customFormat="1" x14ac:dyDescent="0.35"/>
    <row r="3028" s="13" customFormat="1" x14ac:dyDescent="0.35"/>
    <row r="3029" s="13" customFormat="1" x14ac:dyDescent="0.35"/>
    <row r="3030" s="13" customFormat="1" x14ac:dyDescent="0.35"/>
    <row r="3031" s="13" customFormat="1" x14ac:dyDescent="0.35"/>
    <row r="3032" s="13" customFormat="1" x14ac:dyDescent="0.35"/>
    <row r="3033" s="13" customFormat="1" x14ac:dyDescent="0.35"/>
    <row r="3034" s="13" customFormat="1" x14ac:dyDescent="0.35"/>
    <row r="3035" s="13" customFormat="1" x14ac:dyDescent="0.35"/>
    <row r="3036" s="13" customFormat="1" x14ac:dyDescent="0.35"/>
    <row r="3037" s="13" customFormat="1" x14ac:dyDescent="0.35"/>
    <row r="3038" s="13" customFormat="1" x14ac:dyDescent="0.35"/>
    <row r="3039" s="13" customFormat="1" x14ac:dyDescent="0.35"/>
    <row r="3040" s="13" customFormat="1" x14ac:dyDescent="0.35"/>
    <row r="3041" s="13" customFormat="1" x14ac:dyDescent="0.35"/>
    <row r="3042" s="13" customFormat="1" x14ac:dyDescent="0.35"/>
    <row r="3043" s="13" customFormat="1" x14ac:dyDescent="0.35"/>
    <row r="3044" s="13" customFormat="1" x14ac:dyDescent="0.35"/>
    <row r="3045" s="13" customFormat="1" x14ac:dyDescent="0.35"/>
    <row r="3046" s="13" customFormat="1" x14ac:dyDescent="0.35"/>
    <row r="3047" s="13" customFormat="1" x14ac:dyDescent="0.35"/>
    <row r="3048" s="13" customFormat="1" x14ac:dyDescent="0.35"/>
    <row r="3049" s="13" customFormat="1" x14ac:dyDescent="0.35"/>
    <row r="3050" s="13" customFormat="1" x14ac:dyDescent="0.35"/>
    <row r="3051" s="13" customFormat="1" x14ac:dyDescent="0.35"/>
    <row r="3052" s="13" customFormat="1" x14ac:dyDescent="0.35"/>
    <row r="3053" s="13" customFormat="1" x14ac:dyDescent="0.35"/>
    <row r="3054" s="13" customFormat="1" x14ac:dyDescent="0.35"/>
    <row r="3055" s="13" customFormat="1" x14ac:dyDescent="0.35"/>
    <row r="3056" s="13" customFormat="1" x14ac:dyDescent="0.35"/>
    <row r="3057" s="13" customFormat="1" x14ac:dyDescent="0.35"/>
    <row r="3058" s="13" customFormat="1" x14ac:dyDescent="0.35"/>
    <row r="3059" s="13" customFormat="1" x14ac:dyDescent="0.35"/>
    <row r="3060" s="13" customFormat="1" x14ac:dyDescent="0.35"/>
    <row r="3061" s="13" customFormat="1" x14ac:dyDescent="0.35"/>
    <row r="3062" s="13" customFormat="1" x14ac:dyDescent="0.35"/>
    <row r="3063" s="13" customFormat="1" x14ac:dyDescent="0.35"/>
    <row r="3064" s="13" customFormat="1" x14ac:dyDescent="0.35"/>
    <row r="3065" s="13" customFormat="1" x14ac:dyDescent="0.35"/>
    <row r="3066" s="13" customFormat="1" x14ac:dyDescent="0.35"/>
    <row r="3067" s="13" customFormat="1" x14ac:dyDescent="0.35"/>
    <row r="3068" s="13" customFormat="1" x14ac:dyDescent="0.35"/>
    <row r="3069" s="13" customFormat="1" x14ac:dyDescent="0.35"/>
    <row r="3070" s="13" customFormat="1" x14ac:dyDescent="0.35"/>
    <row r="3071" s="13" customFormat="1" x14ac:dyDescent="0.35"/>
    <row r="3072" s="13" customFormat="1" x14ac:dyDescent="0.35"/>
    <row r="3073" s="13" customFormat="1" x14ac:dyDescent="0.35"/>
    <row r="3074" s="13" customFormat="1" x14ac:dyDescent="0.35"/>
    <row r="3075" s="13" customFormat="1" x14ac:dyDescent="0.35"/>
    <row r="3076" s="13" customFormat="1" x14ac:dyDescent="0.35"/>
    <row r="3077" s="13" customFormat="1" x14ac:dyDescent="0.35"/>
    <row r="3078" s="13" customFormat="1" x14ac:dyDescent="0.35"/>
    <row r="3079" s="13" customFormat="1" x14ac:dyDescent="0.35"/>
    <row r="3080" s="13" customFormat="1" x14ac:dyDescent="0.35"/>
    <row r="3081" s="13" customFormat="1" x14ac:dyDescent="0.35"/>
    <row r="3082" s="13" customFormat="1" x14ac:dyDescent="0.35"/>
    <row r="3083" s="13" customFormat="1" x14ac:dyDescent="0.35"/>
    <row r="3084" s="13" customFormat="1" x14ac:dyDescent="0.35"/>
    <row r="3085" s="13" customFormat="1" x14ac:dyDescent="0.35"/>
    <row r="3086" s="13" customFormat="1" x14ac:dyDescent="0.35"/>
    <row r="3087" s="13" customFormat="1" x14ac:dyDescent="0.35"/>
    <row r="3088" s="13" customFormat="1" x14ac:dyDescent="0.35"/>
    <row r="3089" s="13" customFormat="1" x14ac:dyDescent="0.35"/>
    <row r="3090" s="13" customFormat="1" x14ac:dyDescent="0.35"/>
    <row r="3091" s="13" customFormat="1" x14ac:dyDescent="0.35"/>
    <row r="3092" s="13" customFormat="1" x14ac:dyDescent="0.35"/>
    <row r="3093" s="13" customFormat="1" x14ac:dyDescent="0.35"/>
    <row r="3094" s="13" customFormat="1" x14ac:dyDescent="0.35"/>
    <row r="3095" s="13" customFormat="1" x14ac:dyDescent="0.35"/>
    <row r="3096" s="13" customFormat="1" x14ac:dyDescent="0.35"/>
    <row r="3097" s="13" customFormat="1" x14ac:dyDescent="0.35"/>
    <row r="3098" s="13" customFormat="1" x14ac:dyDescent="0.35"/>
    <row r="3099" s="13" customFormat="1" x14ac:dyDescent="0.35"/>
    <row r="3100" s="13" customFormat="1" x14ac:dyDescent="0.35"/>
    <row r="3101" s="13" customFormat="1" x14ac:dyDescent="0.35"/>
    <row r="3102" s="13" customFormat="1" x14ac:dyDescent="0.35"/>
    <row r="3103" s="13" customFormat="1" x14ac:dyDescent="0.35"/>
    <row r="3104" s="13" customFormat="1" x14ac:dyDescent="0.35"/>
    <row r="3105" s="13" customFormat="1" x14ac:dyDescent="0.35"/>
    <row r="3106" s="13" customFormat="1" x14ac:dyDescent="0.35"/>
    <row r="3107" s="13" customFormat="1" x14ac:dyDescent="0.35"/>
    <row r="3108" s="13" customFormat="1" x14ac:dyDescent="0.35"/>
    <row r="3109" s="13" customFormat="1" x14ac:dyDescent="0.35"/>
    <row r="3110" s="13" customFormat="1" x14ac:dyDescent="0.35"/>
    <row r="3111" s="13" customFormat="1" x14ac:dyDescent="0.35"/>
    <row r="3112" s="13" customFormat="1" x14ac:dyDescent="0.35"/>
    <row r="3113" s="13" customFormat="1" x14ac:dyDescent="0.35"/>
    <row r="3114" s="13" customFormat="1" x14ac:dyDescent="0.35"/>
    <row r="3115" s="13" customFormat="1" x14ac:dyDescent="0.35"/>
    <row r="3116" s="13" customFormat="1" x14ac:dyDescent="0.35"/>
    <row r="3117" s="13" customFormat="1" x14ac:dyDescent="0.35"/>
    <row r="3118" s="13" customFormat="1" x14ac:dyDescent="0.35"/>
    <row r="3119" s="13" customFormat="1" x14ac:dyDescent="0.35"/>
    <row r="3120" s="13" customFormat="1" x14ac:dyDescent="0.35"/>
    <row r="3121" s="13" customFormat="1" x14ac:dyDescent="0.35"/>
    <row r="3122" s="13" customFormat="1" x14ac:dyDescent="0.35"/>
    <row r="3123" s="13" customFormat="1" x14ac:dyDescent="0.35"/>
    <row r="3124" s="13" customFormat="1" x14ac:dyDescent="0.35"/>
    <row r="3125" s="13" customFormat="1" x14ac:dyDescent="0.35"/>
    <row r="3126" s="13" customFormat="1" x14ac:dyDescent="0.35"/>
    <row r="3127" s="13" customFormat="1" x14ac:dyDescent="0.35"/>
    <row r="3128" s="13" customFormat="1" x14ac:dyDescent="0.35"/>
    <row r="3129" s="13" customFormat="1" x14ac:dyDescent="0.35"/>
    <row r="3130" s="13" customFormat="1" x14ac:dyDescent="0.35"/>
    <row r="3131" s="13" customFormat="1" x14ac:dyDescent="0.35"/>
    <row r="3132" s="13" customFormat="1" x14ac:dyDescent="0.35"/>
    <row r="3133" s="13" customFormat="1" x14ac:dyDescent="0.35"/>
    <row r="3134" s="13" customFormat="1" x14ac:dyDescent="0.35"/>
    <row r="3135" s="13" customFormat="1" x14ac:dyDescent="0.35"/>
    <row r="3136" s="13" customFormat="1" x14ac:dyDescent="0.35"/>
    <row r="3137" s="13" customFormat="1" x14ac:dyDescent="0.35"/>
    <row r="3138" s="13" customFormat="1" x14ac:dyDescent="0.35"/>
    <row r="3139" s="13" customFormat="1" x14ac:dyDescent="0.35"/>
    <row r="3140" s="13" customFormat="1" x14ac:dyDescent="0.35"/>
    <row r="3141" s="13" customFormat="1" x14ac:dyDescent="0.35"/>
    <row r="3142" s="13" customFormat="1" x14ac:dyDescent="0.35"/>
    <row r="3143" s="13" customFormat="1" x14ac:dyDescent="0.35"/>
    <row r="3144" s="13" customFormat="1" x14ac:dyDescent="0.35"/>
    <row r="3145" s="13" customFormat="1" x14ac:dyDescent="0.35"/>
    <row r="3146" s="13" customFormat="1" x14ac:dyDescent="0.35"/>
    <row r="3147" s="13" customFormat="1" x14ac:dyDescent="0.35"/>
    <row r="3148" s="13" customFormat="1" x14ac:dyDescent="0.35"/>
    <row r="3149" s="13" customFormat="1" x14ac:dyDescent="0.35"/>
    <row r="3150" s="13" customFormat="1" x14ac:dyDescent="0.35"/>
    <row r="3151" s="13" customFormat="1" x14ac:dyDescent="0.35"/>
    <row r="3152" s="13" customFormat="1" x14ac:dyDescent="0.35"/>
    <row r="3153" s="13" customFormat="1" x14ac:dyDescent="0.35"/>
    <row r="3154" s="13" customFormat="1" x14ac:dyDescent="0.35"/>
    <row r="3155" s="13" customFormat="1" x14ac:dyDescent="0.35"/>
    <row r="3156" s="13" customFormat="1" x14ac:dyDescent="0.35"/>
    <row r="3157" s="13" customFormat="1" x14ac:dyDescent="0.35"/>
    <row r="3158" s="13" customFormat="1" x14ac:dyDescent="0.35"/>
    <row r="3159" s="13" customFormat="1" x14ac:dyDescent="0.35"/>
    <row r="3160" s="13" customFormat="1" x14ac:dyDescent="0.35"/>
    <row r="3161" s="13" customFormat="1" x14ac:dyDescent="0.35"/>
    <row r="3162" s="13" customFormat="1" x14ac:dyDescent="0.35"/>
    <row r="3163" s="13" customFormat="1" x14ac:dyDescent="0.35"/>
    <row r="3164" s="13" customFormat="1" x14ac:dyDescent="0.35"/>
    <row r="3165" s="13" customFormat="1" x14ac:dyDescent="0.35"/>
    <row r="3166" s="13" customFormat="1" x14ac:dyDescent="0.35"/>
    <row r="3167" s="13" customFormat="1" x14ac:dyDescent="0.35"/>
    <row r="3168" s="13" customFormat="1" x14ac:dyDescent="0.35"/>
    <row r="3169" s="13" customFormat="1" x14ac:dyDescent="0.35"/>
    <row r="3170" s="13" customFormat="1" x14ac:dyDescent="0.35"/>
    <row r="3171" s="13" customFormat="1" x14ac:dyDescent="0.35"/>
    <row r="3172" s="13" customFormat="1" x14ac:dyDescent="0.35"/>
    <row r="3173" s="13" customFormat="1" x14ac:dyDescent="0.35"/>
    <row r="3174" s="13" customFormat="1" x14ac:dyDescent="0.35"/>
    <row r="3175" s="13" customFormat="1" x14ac:dyDescent="0.35"/>
    <row r="3176" s="13" customFormat="1" x14ac:dyDescent="0.35"/>
    <row r="3177" s="13" customFormat="1" x14ac:dyDescent="0.35"/>
    <row r="3178" s="13" customFormat="1" x14ac:dyDescent="0.35"/>
    <row r="3179" s="13" customFormat="1" x14ac:dyDescent="0.35"/>
    <row r="3180" s="13" customFormat="1" x14ac:dyDescent="0.35"/>
    <row r="3181" s="13" customFormat="1" x14ac:dyDescent="0.35"/>
    <row r="3182" s="13" customFormat="1" x14ac:dyDescent="0.35"/>
    <row r="3183" s="13" customFormat="1" x14ac:dyDescent="0.35"/>
    <row r="3184" s="13" customFormat="1" x14ac:dyDescent="0.35"/>
    <row r="3185" s="13" customFormat="1" x14ac:dyDescent="0.35"/>
    <row r="3186" s="13" customFormat="1" x14ac:dyDescent="0.35"/>
    <row r="3187" s="13" customFormat="1" x14ac:dyDescent="0.35"/>
    <row r="3188" s="13" customFormat="1" x14ac:dyDescent="0.35"/>
    <row r="3189" s="13" customFormat="1" x14ac:dyDescent="0.35"/>
    <row r="3190" s="13" customFormat="1" x14ac:dyDescent="0.35"/>
    <row r="3191" s="13" customFormat="1" x14ac:dyDescent="0.35"/>
    <row r="3192" s="13" customFormat="1" x14ac:dyDescent="0.35"/>
    <row r="3193" s="13" customFormat="1" x14ac:dyDescent="0.35"/>
    <row r="3194" s="13" customFormat="1" x14ac:dyDescent="0.35"/>
    <row r="3195" s="13" customFormat="1" x14ac:dyDescent="0.35"/>
    <row r="3196" s="13" customFormat="1" x14ac:dyDescent="0.35"/>
    <row r="3197" s="13" customFormat="1" x14ac:dyDescent="0.35"/>
    <row r="3198" s="13" customFormat="1" x14ac:dyDescent="0.35"/>
    <row r="3199" s="13" customFormat="1" x14ac:dyDescent="0.35"/>
    <row r="3200" s="13" customFormat="1" x14ac:dyDescent="0.35"/>
    <row r="3201" s="13" customFormat="1" x14ac:dyDescent="0.35"/>
    <row r="3202" s="13" customFormat="1" x14ac:dyDescent="0.35"/>
    <row r="3203" s="13" customFormat="1" x14ac:dyDescent="0.35"/>
    <row r="3204" s="13" customFormat="1" x14ac:dyDescent="0.35"/>
    <row r="3205" s="13" customFormat="1" x14ac:dyDescent="0.35"/>
    <row r="3206" s="13" customFormat="1" x14ac:dyDescent="0.35"/>
    <row r="3207" s="13" customFormat="1" x14ac:dyDescent="0.35"/>
    <row r="3208" s="13" customFormat="1" x14ac:dyDescent="0.35"/>
    <row r="3209" s="13" customFormat="1" x14ac:dyDescent="0.35"/>
    <row r="3210" s="13" customFormat="1" x14ac:dyDescent="0.35"/>
    <row r="3211" s="13" customFormat="1" x14ac:dyDescent="0.35"/>
    <row r="3212" s="13" customFormat="1" x14ac:dyDescent="0.35"/>
    <row r="3213" s="13" customFormat="1" x14ac:dyDescent="0.35"/>
    <row r="3214" s="13" customFormat="1" x14ac:dyDescent="0.35"/>
    <row r="3215" s="13" customFormat="1" x14ac:dyDescent="0.35"/>
    <row r="3216" s="13" customFormat="1" x14ac:dyDescent="0.35"/>
    <row r="3217" s="13" customFormat="1" x14ac:dyDescent="0.35"/>
    <row r="3218" s="13" customFormat="1" x14ac:dyDescent="0.35"/>
    <row r="3219" s="13" customFormat="1" x14ac:dyDescent="0.35"/>
    <row r="3220" s="13" customFormat="1" x14ac:dyDescent="0.35"/>
    <row r="3221" s="13" customFormat="1" x14ac:dyDescent="0.35"/>
    <row r="3222" s="13" customFormat="1" x14ac:dyDescent="0.35"/>
    <row r="3223" s="13" customFormat="1" x14ac:dyDescent="0.35"/>
    <row r="3224" s="13" customFormat="1" x14ac:dyDescent="0.35"/>
    <row r="3225" s="13" customFormat="1" x14ac:dyDescent="0.35"/>
    <row r="3226" s="13" customFormat="1" x14ac:dyDescent="0.35"/>
    <row r="3227" s="13" customFormat="1" x14ac:dyDescent="0.35"/>
    <row r="3228" s="13" customFormat="1" x14ac:dyDescent="0.35"/>
    <row r="3229" s="13" customFormat="1" x14ac:dyDescent="0.35"/>
    <row r="3230" s="13" customFormat="1" x14ac:dyDescent="0.35"/>
    <row r="3231" s="13" customFormat="1" x14ac:dyDescent="0.35"/>
    <row r="3232" s="13" customFormat="1" x14ac:dyDescent="0.35"/>
    <row r="3233" s="13" customFormat="1" x14ac:dyDescent="0.35"/>
    <row r="3234" s="13" customFormat="1" x14ac:dyDescent="0.35"/>
    <row r="3235" s="13" customFormat="1" x14ac:dyDescent="0.35"/>
    <row r="3236" s="13" customFormat="1" x14ac:dyDescent="0.35"/>
    <row r="3237" s="13" customFormat="1" x14ac:dyDescent="0.35"/>
    <row r="3238" s="13" customFormat="1" x14ac:dyDescent="0.35"/>
    <row r="3239" s="13" customFormat="1" x14ac:dyDescent="0.35"/>
    <row r="3240" s="13" customFormat="1" x14ac:dyDescent="0.35"/>
    <row r="3241" s="13" customFormat="1" x14ac:dyDescent="0.35"/>
    <row r="3242" s="13" customFormat="1" x14ac:dyDescent="0.35"/>
    <row r="3243" s="13" customFormat="1" x14ac:dyDescent="0.35"/>
    <row r="3244" s="13" customFormat="1" x14ac:dyDescent="0.35"/>
    <row r="3245" s="13" customFormat="1" x14ac:dyDescent="0.35"/>
    <row r="3246" s="13" customFormat="1" x14ac:dyDescent="0.35"/>
    <row r="3247" s="13" customFormat="1" x14ac:dyDescent="0.35"/>
    <row r="3248" s="13" customFormat="1" x14ac:dyDescent="0.35"/>
    <row r="3249" s="13" customFormat="1" x14ac:dyDescent="0.35"/>
    <row r="3250" s="13" customFormat="1" x14ac:dyDescent="0.35"/>
    <row r="3251" s="13" customFormat="1" x14ac:dyDescent="0.35"/>
    <row r="3252" s="13" customFormat="1" x14ac:dyDescent="0.35"/>
    <row r="3253" s="13" customFormat="1" x14ac:dyDescent="0.35"/>
    <row r="3254" s="13" customFormat="1" x14ac:dyDescent="0.35"/>
    <row r="3255" s="13" customFormat="1" x14ac:dyDescent="0.35"/>
    <row r="3256" s="13" customFormat="1" x14ac:dyDescent="0.35"/>
    <row r="3257" s="13" customFormat="1" x14ac:dyDescent="0.35"/>
    <row r="3258" s="13" customFormat="1" x14ac:dyDescent="0.35"/>
    <row r="3259" s="13" customFormat="1" x14ac:dyDescent="0.35"/>
    <row r="3260" s="13" customFormat="1" x14ac:dyDescent="0.35"/>
    <row r="3261" s="13" customFormat="1" x14ac:dyDescent="0.35"/>
    <row r="3262" s="13" customFormat="1" x14ac:dyDescent="0.35"/>
    <row r="3263" s="13" customFormat="1" x14ac:dyDescent="0.35"/>
    <row r="3264" s="13" customFormat="1" x14ac:dyDescent="0.35"/>
    <row r="3265" s="13" customFormat="1" x14ac:dyDescent="0.35"/>
    <row r="3266" s="13" customFormat="1" x14ac:dyDescent="0.35"/>
    <row r="3267" s="13" customFormat="1" x14ac:dyDescent="0.35"/>
    <row r="3268" s="13" customFormat="1" x14ac:dyDescent="0.35"/>
    <row r="3269" s="13" customFormat="1" x14ac:dyDescent="0.35"/>
    <row r="3270" s="13" customFormat="1" x14ac:dyDescent="0.35"/>
    <row r="3271" s="13" customFormat="1" x14ac:dyDescent="0.35"/>
    <row r="3272" s="13" customFormat="1" x14ac:dyDescent="0.35"/>
    <row r="3273" s="13" customFormat="1" x14ac:dyDescent="0.35"/>
    <row r="3274" s="13" customFormat="1" x14ac:dyDescent="0.35"/>
    <row r="3275" s="13" customFormat="1" x14ac:dyDescent="0.35"/>
    <row r="3276" s="13" customFormat="1" x14ac:dyDescent="0.35"/>
    <row r="3277" s="13" customFormat="1" x14ac:dyDescent="0.35"/>
    <row r="3278" s="13" customFormat="1" x14ac:dyDescent="0.35"/>
    <row r="3279" s="13" customFormat="1" x14ac:dyDescent="0.35"/>
    <row r="3280" s="13" customFormat="1" x14ac:dyDescent="0.35"/>
    <row r="3281" s="13" customFormat="1" x14ac:dyDescent="0.35"/>
    <row r="3282" s="13" customFormat="1" x14ac:dyDescent="0.35"/>
    <row r="3283" s="13" customFormat="1" x14ac:dyDescent="0.35"/>
    <row r="3284" s="13" customFormat="1" x14ac:dyDescent="0.35"/>
    <row r="3285" s="13" customFormat="1" x14ac:dyDescent="0.35"/>
    <row r="3286" s="13" customFormat="1" x14ac:dyDescent="0.35"/>
    <row r="3287" s="13" customFormat="1" x14ac:dyDescent="0.35"/>
    <row r="3288" s="13" customFormat="1" x14ac:dyDescent="0.35"/>
    <row r="3289" s="13" customFormat="1" x14ac:dyDescent="0.35"/>
    <row r="3290" s="13" customFormat="1" x14ac:dyDescent="0.35"/>
    <row r="3291" s="13" customFormat="1" x14ac:dyDescent="0.35"/>
    <row r="3292" s="13" customFormat="1" x14ac:dyDescent="0.35"/>
    <row r="3293" s="13" customFormat="1" x14ac:dyDescent="0.35"/>
    <row r="3294" s="13" customFormat="1" x14ac:dyDescent="0.35"/>
    <row r="3295" s="13" customFormat="1" x14ac:dyDescent="0.35"/>
    <row r="3296" s="13" customFormat="1" x14ac:dyDescent="0.35"/>
    <row r="3297" s="13" customFormat="1" x14ac:dyDescent="0.35"/>
    <row r="3298" s="13" customFormat="1" x14ac:dyDescent="0.35"/>
    <row r="3299" s="13" customFormat="1" x14ac:dyDescent="0.35"/>
    <row r="3300" s="13" customFormat="1" x14ac:dyDescent="0.35"/>
    <row r="3301" s="13" customFormat="1" x14ac:dyDescent="0.35"/>
    <row r="3302" s="13" customFormat="1" x14ac:dyDescent="0.35"/>
    <row r="3303" s="13" customFormat="1" x14ac:dyDescent="0.35"/>
    <row r="3304" s="13" customFormat="1" x14ac:dyDescent="0.35"/>
    <row r="3305" s="13" customFormat="1" x14ac:dyDescent="0.35"/>
    <row r="3306" s="13" customFormat="1" x14ac:dyDescent="0.35"/>
    <row r="3307" s="13" customFormat="1" x14ac:dyDescent="0.35"/>
    <row r="3308" s="13" customFormat="1" x14ac:dyDescent="0.35"/>
    <row r="3309" s="13" customFormat="1" x14ac:dyDescent="0.35"/>
    <row r="3310" s="13" customFormat="1" x14ac:dyDescent="0.35"/>
    <row r="3311" s="13" customFormat="1" x14ac:dyDescent="0.35"/>
    <row r="3312" s="13" customFormat="1" x14ac:dyDescent="0.35"/>
    <row r="3313" s="13" customFormat="1" x14ac:dyDescent="0.35"/>
    <row r="3314" s="13" customFormat="1" x14ac:dyDescent="0.35"/>
    <row r="3315" s="13" customFormat="1" x14ac:dyDescent="0.35"/>
    <row r="3316" s="13" customFormat="1" x14ac:dyDescent="0.35"/>
    <row r="3317" s="13" customFormat="1" x14ac:dyDescent="0.35"/>
    <row r="3318" s="13" customFormat="1" x14ac:dyDescent="0.35"/>
    <row r="3319" s="13" customFormat="1" x14ac:dyDescent="0.35"/>
    <row r="3320" s="13" customFormat="1" x14ac:dyDescent="0.35"/>
    <row r="3321" s="13" customFormat="1" x14ac:dyDescent="0.35"/>
    <row r="3322" s="13" customFormat="1" x14ac:dyDescent="0.35"/>
    <row r="3323" s="13" customFormat="1" x14ac:dyDescent="0.35"/>
    <row r="3324" s="13" customFormat="1" x14ac:dyDescent="0.35"/>
    <row r="3325" s="13" customFormat="1" x14ac:dyDescent="0.35"/>
    <row r="3326" s="13" customFormat="1" x14ac:dyDescent="0.35"/>
    <row r="3327" s="13" customFormat="1" x14ac:dyDescent="0.35"/>
    <row r="3328" s="13" customFormat="1" x14ac:dyDescent="0.35"/>
    <row r="3329" s="13" customFormat="1" x14ac:dyDescent="0.35"/>
    <row r="3330" s="13" customFormat="1" x14ac:dyDescent="0.35"/>
    <row r="3331" s="13" customFormat="1" x14ac:dyDescent="0.35"/>
    <row r="3332" s="13" customFormat="1" x14ac:dyDescent="0.35"/>
    <row r="3333" s="13" customFormat="1" x14ac:dyDescent="0.35"/>
    <row r="3334" s="13" customFormat="1" x14ac:dyDescent="0.35"/>
    <row r="3335" s="13" customFormat="1" x14ac:dyDescent="0.35"/>
    <row r="3336" s="13" customFormat="1" x14ac:dyDescent="0.35"/>
    <row r="3337" s="13" customFormat="1" x14ac:dyDescent="0.35"/>
    <row r="3338" s="13" customFormat="1" x14ac:dyDescent="0.35"/>
    <row r="3339" s="13" customFormat="1" x14ac:dyDescent="0.35"/>
    <row r="3340" s="13" customFormat="1" x14ac:dyDescent="0.35"/>
    <row r="3341" s="13" customFormat="1" x14ac:dyDescent="0.35"/>
    <row r="3342" s="13" customFormat="1" x14ac:dyDescent="0.35"/>
    <row r="3343" s="13" customFormat="1" x14ac:dyDescent="0.35"/>
    <row r="3344" s="13" customFormat="1" x14ac:dyDescent="0.35"/>
    <row r="3345" s="13" customFormat="1" x14ac:dyDescent="0.35"/>
    <row r="3346" s="13" customFormat="1" x14ac:dyDescent="0.35"/>
    <row r="3347" s="13" customFormat="1" x14ac:dyDescent="0.35"/>
    <row r="3348" s="13" customFormat="1" x14ac:dyDescent="0.35"/>
    <row r="3349" s="13" customFormat="1" x14ac:dyDescent="0.35"/>
    <row r="3350" s="13" customFormat="1" x14ac:dyDescent="0.35"/>
    <row r="3351" s="13" customFormat="1" x14ac:dyDescent="0.35"/>
    <row r="3352" s="13" customFormat="1" x14ac:dyDescent="0.35"/>
    <row r="3353" s="13" customFormat="1" x14ac:dyDescent="0.35"/>
    <row r="3354" s="13" customFormat="1" x14ac:dyDescent="0.35"/>
    <row r="3355" s="13" customFormat="1" x14ac:dyDescent="0.35"/>
    <row r="3356" s="13" customFormat="1" x14ac:dyDescent="0.35"/>
    <row r="3357" s="13" customFormat="1" x14ac:dyDescent="0.35"/>
    <row r="3358" s="13" customFormat="1" x14ac:dyDescent="0.35"/>
    <row r="3359" s="13" customFormat="1" x14ac:dyDescent="0.35"/>
    <row r="3360" s="13" customFormat="1" x14ac:dyDescent="0.35"/>
    <row r="3361" s="13" customFormat="1" x14ac:dyDescent="0.35"/>
    <row r="3362" s="13" customFormat="1" x14ac:dyDescent="0.35"/>
    <row r="3363" s="13" customFormat="1" x14ac:dyDescent="0.35"/>
    <row r="3364" s="13" customFormat="1" x14ac:dyDescent="0.35"/>
    <row r="3365" s="13" customFormat="1" x14ac:dyDescent="0.35"/>
    <row r="3366" s="13" customFormat="1" x14ac:dyDescent="0.35"/>
    <row r="3367" s="13" customFormat="1" x14ac:dyDescent="0.35"/>
    <row r="3368" s="13" customFormat="1" x14ac:dyDescent="0.35"/>
    <row r="3369" s="13" customFormat="1" x14ac:dyDescent="0.35"/>
    <row r="3370" s="13" customFormat="1" x14ac:dyDescent="0.35"/>
    <row r="3371" s="13" customFormat="1" x14ac:dyDescent="0.35"/>
    <row r="3372" s="13" customFormat="1" x14ac:dyDescent="0.35"/>
    <row r="3373" s="13" customFormat="1" x14ac:dyDescent="0.35"/>
    <row r="3374" s="13" customFormat="1" x14ac:dyDescent="0.35"/>
    <row r="3375" s="13" customFormat="1" x14ac:dyDescent="0.35"/>
    <row r="3376" s="13" customFormat="1" x14ac:dyDescent="0.35"/>
    <row r="3377" s="13" customFormat="1" x14ac:dyDescent="0.35"/>
    <row r="3378" s="13" customFormat="1" x14ac:dyDescent="0.35"/>
    <row r="3379" s="13" customFormat="1" x14ac:dyDescent="0.35"/>
    <row r="3380" s="13" customFormat="1" x14ac:dyDescent="0.35"/>
    <row r="3381" s="13" customFormat="1" x14ac:dyDescent="0.35"/>
    <row r="3382" s="13" customFormat="1" x14ac:dyDescent="0.35"/>
    <row r="3383" s="13" customFormat="1" x14ac:dyDescent="0.35"/>
    <row r="3384" s="13" customFormat="1" x14ac:dyDescent="0.35"/>
    <row r="3385" s="13" customFormat="1" x14ac:dyDescent="0.35"/>
    <row r="3386" s="13" customFormat="1" x14ac:dyDescent="0.35"/>
    <row r="3387" s="13" customFormat="1" x14ac:dyDescent="0.35"/>
    <row r="3388" s="13" customFormat="1" x14ac:dyDescent="0.35"/>
    <row r="3389" s="13" customFormat="1" x14ac:dyDescent="0.35"/>
    <row r="3390" s="13" customFormat="1" x14ac:dyDescent="0.35"/>
    <row r="3391" s="13" customFormat="1" x14ac:dyDescent="0.35"/>
    <row r="3392" s="13" customFormat="1" x14ac:dyDescent="0.35"/>
    <row r="3393" s="13" customFormat="1" x14ac:dyDescent="0.35"/>
    <row r="3394" s="13" customFormat="1" x14ac:dyDescent="0.35"/>
    <row r="3395" s="13" customFormat="1" x14ac:dyDescent="0.35"/>
    <row r="3396" s="13" customFormat="1" x14ac:dyDescent="0.35"/>
    <row r="3397" s="13" customFormat="1" x14ac:dyDescent="0.35"/>
    <row r="3398" s="13" customFormat="1" x14ac:dyDescent="0.35"/>
    <row r="3399" s="13" customFormat="1" x14ac:dyDescent="0.35"/>
    <row r="3400" s="13" customFormat="1" x14ac:dyDescent="0.35"/>
    <row r="3401" s="13" customFormat="1" x14ac:dyDescent="0.35"/>
    <row r="3402" s="13" customFormat="1" x14ac:dyDescent="0.35"/>
    <row r="3403" s="13" customFormat="1" x14ac:dyDescent="0.35"/>
    <row r="3404" s="13" customFormat="1" x14ac:dyDescent="0.35"/>
    <row r="3405" s="13" customFormat="1" x14ac:dyDescent="0.35"/>
    <row r="3406" s="13" customFormat="1" x14ac:dyDescent="0.35"/>
    <row r="3407" s="13" customFormat="1" x14ac:dyDescent="0.35"/>
    <row r="3408" s="13" customFormat="1" x14ac:dyDescent="0.35"/>
    <row r="3409" s="13" customFormat="1" x14ac:dyDescent="0.35"/>
    <row r="3410" s="13" customFormat="1" x14ac:dyDescent="0.35"/>
    <row r="3411" s="13" customFormat="1" x14ac:dyDescent="0.35"/>
    <row r="3412" s="13" customFormat="1" x14ac:dyDescent="0.35"/>
    <row r="3413" s="13" customFormat="1" x14ac:dyDescent="0.35"/>
    <row r="3414" s="13" customFormat="1" x14ac:dyDescent="0.35"/>
    <row r="3415" s="13" customFormat="1" x14ac:dyDescent="0.35"/>
    <row r="3416" s="13" customFormat="1" x14ac:dyDescent="0.35"/>
    <row r="3417" s="13" customFormat="1" x14ac:dyDescent="0.35"/>
    <row r="3418" s="13" customFormat="1" x14ac:dyDescent="0.35"/>
    <row r="3419" s="13" customFormat="1" x14ac:dyDescent="0.35"/>
    <row r="3420" s="13" customFormat="1" x14ac:dyDescent="0.35"/>
    <row r="3421" s="13" customFormat="1" x14ac:dyDescent="0.35"/>
    <row r="3422" s="13" customFormat="1" x14ac:dyDescent="0.35"/>
    <row r="3423" s="13" customFormat="1" x14ac:dyDescent="0.35"/>
    <row r="3424" s="13" customFormat="1" x14ac:dyDescent="0.35"/>
    <row r="3425" s="13" customFormat="1" x14ac:dyDescent="0.35"/>
    <row r="3426" s="13" customFormat="1" x14ac:dyDescent="0.35"/>
    <row r="3427" s="13" customFormat="1" x14ac:dyDescent="0.35"/>
    <row r="3428" s="13" customFormat="1" x14ac:dyDescent="0.35"/>
    <row r="3429" s="13" customFormat="1" x14ac:dyDescent="0.35"/>
    <row r="3430" s="13" customFormat="1" x14ac:dyDescent="0.35"/>
    <row r="3431" s="13" customFormat="1" x14ac:dyDescent="0.35"/>
    <row r="3432" s="13" customFormat="1" x14ac:dyDescent="0.35"/>
    <row r="3433" s="13" customFormat="1" x14ac:dyDescent="0.35"/>
    <row r="3434" s="13" customFormat="1" x14ac:dyDescent="0.35"/>
    <row r="3435" s="13" customFormat="1" x14ac:dyDescent="0.35"/>
    <row r="3436" s="13" customFormat="1" x14ac:dyDescent="0.35"/>
    <row r="3437" s="13" customFormat="1" x14ac:dyDescent="0.35"/>
    <row r="3438" s="13" customFormat="1" x14ac:dyDescent="0.35"/>
    <row r="3439" s="13" customFormat="1" x14ac:dyDescent="0.35"/>
    <row r="3440" s="13" customFormat="1" x14ac:dyDescent="0.35"/>
    <row r="3441" s="13" customFormat="1" x14ac:dyDescent="0.35"/>
    <row r="3442" s="13" customFormat="1" x14ac:dyDescent="0.35"/>
    <row r="3443" s="13" customFormat="1" x14ac:dyDescent="0.35"/>
    <row r="3444" s="13" customFormat="1" x14ac:dyDescent="0.35"/>
    <row r="3445" s="13" customFormat="1" x14ac:dyDescent="0.35"/>
    <row r="3446" s="13" customFormat="1" x14ac:dyDescent="0.35"/>
    <row r="3447" s="13" customFormat="1" x14ac:dyDescent="0.35"/>
    <row r="3448" s="13" customFormat="1" x14ac:dyDescent="0.35"/>
    <row r="3449" s="13" customFormat="1" x14ac:dyDescent="0.35"/>
    <row r="3450" s="13" customFormat="1" x14ac:dyDescent="0.35"/>
    <row r="3451" s="13" customFormat="1" x14ac:dyDescent="0.35"/>
    <row r="3452" s="13" customFormat="1" x14ac:dyDescent="0.35"/>
    <row r="3453" s="13" customFormat="1" x14ac:dyDescent="0.35"/>
    <row r="3454" s="13" customFormat="1" x14ac:dyDescent="0.35"/>
    <row r="3455" s="13" customFormat="1" x14ac:dyDescent="0.35"/>
    <row r="3456" s="13" customFormat="1" x14ac:dyDescent="0.35"/>
    <row r="3457" s="13" customFormat="1" x14ac:dyDescent="0.35"/>
    <row r="3458" s="13" customFormat="1" x14ac:dyDescent="0.35"/>
    <row r="3459" s="13" customFormat="1" x14ac:dyDescent="0.35"/>
    <row r="3460" s="13" customFormat="1" x14ac:dyDescent="0.35"/>
    <row r="3461" s="13" customFormat="1" x14ac:dyDescent="0.35"/>
    <row r="3462" s="13" customFormat="1" x14ac:dyDescent="0.35"/>
    <row r="3463" s="13" customFormat="1" x14ac:dyDescent="0.35"/>
    <row r="3464" s="13" customFormat="1" x14ac:dyDescent="0.35"/>
    <row r="3465" s="13" customFormat="1" x14ac:dyDescent="0.35"/>
    <row r="3466" s="13" customFormat="1" x14ac:dyDescent="0.35"/>
    <row r="3467" s="13" customFormat="1" x14ac:dyDescent="0.35"/>
    <row r="3468" s="13" customFormat="1" x14ac:dyDescent="0.35"/>
    <row r="3469" s="13" customFormat="1" x14ac:dyDescent="0.35"/>
    <row r="3470" s="13" customFormat="1" x14ac:dyDescent="0.35"/>
    <row r="3471" s="13" customFormat="1" x14ac:dyDescent="0.35"/>
    <row r="3472" s="13" customFormat="1" x14ac:dyDescent="0.35"/>
    <row r="3473" s="13" customFormat="1" x14ac:dyDescent="0.35"/>
    <row r="3474" s="13" customFormat="1" x14ac:dyDescent="0.35"/>
    <row r="3475" s="13" customFormat="1" x14ac:dyDescent="0.35"/>
    <row r="3476" s="13" customFormat="1" x14ac:dyDescent="0.35"/>
    <row r="3477" s="13" customFormat="1" x14ac:dyDescent="0.35"/>
    <row r="3478" s="13" customFormat="1" x14ac:dyDescent="0.35"/>
    <row r="3479" s="13" customFormat="1" x14ac:dyDescent="0.35"/>
    <row r="3480" s="13" customFormat="1" x14ac:dyDescent="0.35"/>
    <row r="3481" s="13" customFormat="1" x14ac:dyDescent="0.35"/>
    <row r="3482" s="13" customFormat="1" x14ac:dyDescent="0.35"/>
    <row r="3483" s="13" customFormat="1" x14ac:dyDescent="0.35"/>
    <row r="3484" s="13" customFormat="1" x14ac:dyDescent="0.35"/>
    <row r="3485" s="13" customFormat="1" x14ac:dyDescent="0.35"/>
    <row r="3486" s="13" customFormat="1" x14ac:dyDescent="0.35"/>
    <row r="3487" s="13" customFormat="1" x14ac:dyDescent="0.35"/>
    <row r="3488" s="13" customFormat="1" x14ac:dyDescent="0.35"/>
    <row r="3489" s="13" customFormat="1" x14ac:dyDescent="0.35"/>
    <row r="3490" s="13" customFormat="1" x14ac:dyDescent="0.35"/>
    <row r="3491" s="13" customFormat="1" x14ac:dyDescent="0.35"/>
    <row r="3492" s="13" customFormat="1" x14ac:dyDescent="0.35"/>
    <row r="3493" s="13" customFormat="1" x14ac:dyDescent="0.35"/>
    <row r="3494" s="13" customFormat="1" x14ac:dyDescent="0.35"/>
    <row r="3495" s="13" customFormat="1" x14ac:dyDescent="0.35"/>
    <row r="3496" s="13" customFormat="1" x14ac:dyDescent="0.35"/>
    <row r="3497" s="13" customFormat="1" x14ac:dyDescent="0.35"/>
    <row r="3498" s="13" customFormat="1" x14ac:dyDescent="0.35"/>
    <row r="3499" s="13" customFormat="1" x14ac:dyDescent="0.35"/>
    <row r="3500" s="13" customFormat="1" x14ac:dyDescent="0.35"/>
    <row r="3501" s="13" customFormat="1" x14ac:dyDescent="0.35"/>
    <row r="3502" s="13" customFormat="1" x14ac:dyDescent="0.35"/>
    <row r="3503" s="13" customFormat="1" x14ac:dyDescent="0.35"/>
    <row r="3504" s="13" customFormat="1" x14ac:dyDescent="0.35"/>
    <row r="3505" s="13" customFormat="1" x14ac:dyDescent="0.35"/>
    <row r="3506" s="13" customFormat="1" x14ac:dyDescent="0.35"/>
    <row r="3507" s="13" customFormat="1" x14ac:dyDescent="0.35"/>
    <row r="3508" s="13" customFormat="1" x14ac:dyDescent="0.35"/>
    <row r="3509" s="13" customFormat="1" x14ac:dyDescent="0.35"/>
    <row r="3510" s="13" customFormat="1" x14ac:dyDescent="0.35"/>
    <row r="3511" s="13" customFormat="1" x14ac:dyDescent="0.35"/>
    <row r="3512" s="13" customFormat="1" x14ac:dyDescent="0.35"/>
    <row r="3513" s="13" customFormat="1" x14ac:dyDescent="0.35"/>
    <row r="3514" s="13" customFormat="1" x14ac:dyDescent="0.35"/>
    <row r="3515" s="13" customFormat="1" x14ac:dyDescent="0.35"/>
    <row r="3516" s="13" customFormat="1" x14ac:dyDescent="0.35"/>
    <row r="3517" s="13" customFormat="1" x14ac:dyDescent="0.35"/>
    <row r="3518" s="13" customFormat="1" x14ac:dyDescent="0.35"/>
    <row r="3519" s="13" customFormat="1" x14ac:dyDescent="0.35"/>
    <row r="3520" s="13" customFormat="1" x14ac:dyDescent="0.35"/>
    <row r="3521" s="13" customFormat="1" x14ac:dyDescent="0.35"/>
    <row r="3522" s="13" customFormat="1" x14ac:dyDescent="0.35"/>
    <row r="3523" s="13" customFormat="1" x14ac:dyDescent="0.35"/>
    <row r="3524" s="13" customFormat="1" x14ac:dyDescent="0.35"/>
    <row r="3525" s="13" customFormat="1" x14ac:dyDescent="0.35"/>
    <row r="3526" s="13" customFormat="1" x14ac:dyDescent="0.35"/>
    <row r="3527" s="13" customFormat="1" x14ac:dyDescent="0.35"/>
    <row r="3528" s="13" customFormat="1" x14ac:dyDescent="0.35"/>
    <row r="3529" s="13" customFormat="1" x14ac:dyDescent="0.35"/>
    <row r="3530" s="13" customFormat="1" x14ac:dyDescent="0.35"/>
    <row r="3531" s="13" customFormat="1" x14ac:dyDescent="0.35"/>
    <row r="3532" s="13" customFormat="1" x14ac:dyDescent="0.35"/>
    <row r="3533" s="13" customFormat="1" x14ac:dyDescent="0.35"/>
    <row r="3534" s="13" customFormat="1" x14ac:dyDescent="0.35"/>
    <row r="3535" s="13" customFormat="1" x14ac:dyDescent="0.35"/>
    <row r="3536" s="13" customFormat="1" x14ac:dyDescent="0.35"/>
    <row r="3537" s="13" customFormat="1" x14ac:dyDescent="0.35"/>
    <row r="3538" s="13" customFormat="1" x14ac:dyDescent="0.35"/>
    <row r="3539" s="13" customFormat="1" x14ac:dyDescent="0.35"/>
    <row r="3540" s="13" customFormat="1" x14ac:dyDescent="0.35"/>
    <row r="3541" s="13" customFormat="1" x14ac:dyDescent="0.35"/>
    <row r="3542" s="13" customFormat="1" x14ac:dyDescent="0.35"/>
    <row r="3543" s="13" customFormat="1" x14ac:dyDescent="0.35"/>
    <row r="3544" s="13" customFormat="1" x14ac:dyDescent="0.35"/>
    <row r="3545" s="13" customFormat="1" x14ac:dyDescent="0.35"/>
    <row r="3546" s="13" customFormat="1" x14ac:dyDescent="0.35"/>
    <row r="3547" s="13" customFormat="1" x14ac:dyDescent="0.35"/>
    <row r="3548" s="13" customFormat="1" x14ac:dyDescent="0.35"/>
    <row r="3549" s="13" customFormat="1" x14ac:dyDescent="0.35"/>
    <row r="3550" s="13" customFormat="1" x14ac:dyDescent="0.35"/>
    <row r="3551" s="13" customFormat="1" x14ac:dyDescent="0.35"/>
    <row r="3552" s="13" customFormat="1" x14ac:dyDescent="0.35"/>
    <row r="3553" s="13" customFormat="1" x14ac:dyDescent="0.35"/>
    <row r="3554" s="13" customFormat="1" x14ac:dyDescent="0.35"/>
    <row r="3555" s="13" customFormat="1" x14ac:dyDescent="0.35"/>
    <row r="3556" s="13" customFormat="1" x14ac:dyDescent="0.35"/>
    <row r="3557" s="13" customFormat="1" x14ac:dyDescent="0.35"/>
    <row r="3558" s="13" customFormat="1" x14ac:dyDescent="0.35"/>
    <row r="3559" s="13" customFormat="1" x14ac:dyDescent="0.35"/>
    <row r="3560" s="13" customFormat="1" x14ac:dyDescent="0.35"/>
    <row r="3561" s="13" customFormat="1" x14ac:dyDescent="0.35"/>
    <row r="3562" s="13" customFormat="1" x14ac:dyDescent="0.35"/>
    <row r="3563" s="13" customFormat="1" x14ac:dyDescent="0.35"/>
    <row r="3564" s="13" customFormat="1" x14ac:dyDescent="0.35"/>
    <row r="3565" s="13" customFormat="1" x14ac:dyDescent="0.35"/>
    <row r="3566" s="13" customFormat="1" x14ac:dyDescent="0.35"/>
    <row r="3567" s="13" customFormat="1" x14ac:dyDescent="0.35"/>
    <row r="3568" s="13" customFormat="1" x14ac:dyDescent="0.35"/>
    <row r="3569" s="13" customFormat="1" x14ac:dyDescent="0.35"/>
    <row r="3570" s="13" customFormat="1" x14ac:dyDescent="0.35"/>
    <row r="3571" s="13" customFormat="1" x14ac:dyDescent="0.35"/>
    <row r="3572" s="13" customFormat="1" x14ac:dyDescent="0.35"/>
    <row r="3573" s="13" customFormat="1" x14ac:dyDescent="0.35"/>
    <row r="3574" s="13" customFormat="1" x14ac:dyDescent="0.35"/>
    <row r="3575" s="13" customFormat="1" x14ac:dyDescent="0.35"/>
    <row r="3576" s="13" customFormat="1" x14ac:dyDescent="0.35"/>
    <row r="3577" s="13" customFormat="1" x14ac:dyDescent="0.35"/>
    <row r="3578" s="13" customFormat="1" x14ac:dyDescent="0.35"/>
    <row r="3579" s="13" customFormat="1" x14ac:dyDescent="0.35"/>
    <row r="3580" s="13" customFormat="1" x14ac:dyDescent="0.35"/>
    <row r="3581" s="13" customFormat="1" x14ac:dyDescent="0.35"/>
    <row r="3582" s="13" customFormat="1" x14ac:dyDescent="0.35"/>
    <row r="3583" s="13" customFormat="1" x14ac:dyDescent="0.35"/>
    <row r="3584" s="13" customFormat="1" x14ac:dyDescent="0.35"/>
    <row r="3585" s="13" customFormat="1" x14ac:dyDescent="0.35"/>
    <row r="3586" s="13" customFormat="1" x14ac:dyDescent="0.35"/>
    <row r="3587" s="13" customFormat="1" x14ac:dyDescent="0.35"/>
    <row r="3588" s="13" customFormat="1" x14ac:dyDescent="0.35"/>
    <row r="3589" s="13" customFormat="1" x14ac:dyDescent="0.35"/>
    <row r="3590" s="13" customFormat="1" x14ac:dyDescent="0.35"/>
    <row r="3591" s="13" customFormat="1" x14ac:dyDescent="0.35"/>
    <row r="3592" s="13" customFormat="1" x14ac:dyDescent="0.35"/>
    <row r="3593" s="13" customFormat="1" x14ac:dyDescent="0.35"/>
    <row r="3594" s="13" customFormat="1" x14ac:dyDescent="0.35"/>
    <row r="3595" s="13" customFormat="1" x14ac:dyDescent="0.35"/>
    <row r="3596" s="13" customFormat="1" x14ac:dyDescent="0.35"/>
    <row r="3597" s="13" customFormat="1" x14ac:dyDescent="0.35"/>
    <row r="3598" s="13" customFormat="1" x14ac:dyDescent="0.35"/>
    <row r="3599" s="13" customFormat="1" x14ac:dyDescent="0.35"/>
    <row r="3600" s="13" customFormat="1" x14ac:dyDescent="0.35"/>
    <row r="3601" s="13" customFormat="1" x14ac:dyDescent="0.35"/>
    <row r="3602" s="13" customFormat="1" x14ac:dyDescent="0.35"/>
    <row r="3603" s="13" customFormat="1" x14ac:dyDescent="0.35"/>
    <row r="3604" s="13" customFormat="1" x14ac:dyDescent="0.35"/>
    <row r="3605" s="13" customFormat="1" x14ac:dyDescent="0.35"/>
    <row r="3606" s="13" customFormat="1" x14ac:dyDescent="0.35"/>
    <row r="3607" s="13" customFormat="1" x14ac:dyDescent="0.35"/>
    <row r="3608" s="13" customFormat="1" x14ac:dyDescent="0.35"/>
    <row r="3609" s="13" customFormat="1" x14ac:dyDescent="0.35"/>
    <row r="3610" s="13" customFormat="1" x14ac:dyDescent="0.35"/>
    <row r="3611" s="13" customFormat="1" x14ac:dyDescent="0.35"/>
    <row r="3612" s="13" customFormat="1" x14ac:dyDescent="0.35"/>
    <row r="3613" s="13" customFormat="1" x14ac:dyDescent="0.35"/>
    <row r="3614" s="13" customFormat="1" x14ac:dyDescent="0.35"/>
    <row r="3615" s="13" customFormat="1" x14ac:dyDescent="0.35"/>
    <row r="3616" s="13" customFormat="1" x14ac:dyDescent="0.35"/>
    <row r="3617" s="13" customFormat="1" x14ac:dyDescent="0.35"/>
    <row r="3618" s="13" customFormat="1" x14ac:dyDescent="0.35"/>
    <row r="3619" s="13" customFormat="1" x14ac:dyDescent="0.35"/>
    <row r="3620" s="13" customFormat="1" x14ac:dyDescent="0.35"/>
    <row r="3621" s="13" customFormat="1" x14ac:dyDescent="0.35"/>
    <row r="3622" s="13" customFormat="1" x14ac:dyDescent="0.35"/>
    <row r="3623" s="13" customFormat="1" x14ac:dyDescent="0.35"/>
    <row r="3624" s="13" customFormat="1" x14ac:dyDescent="0.35"/>
    <row r="3625" s="13" customFormat="1" x14ac:dyDescent="0.35"/>
    <row r="3626" s="13" customFormat="1" x14ac:dyDescent="0.35"/>
    <row r="3627" s="13" customFormat="1" x14ac:dyDescent="0.35"/>
    <row r="3628" s="13" customFormat="1" x14ac:dyDescent="0.35"/>
    <row r="3629" s="13" customFormat="1" x14ac:dyDescent="0.35"/>
    <row r="3630" s="13" customFormat="1" x14ac:dyDescent="0.35"/>
    <row r="3631" s="13" customFormat="1" x14ac:dyDescent="0.35"/>
    <row r="3632" s="13" customFormat="1" x14ac:dyDescent="0.35"/>
    <row r="3633" s="13" customFormat="1" x14ac:dyDescent="0.35"/>
    <row r="3634" s="13" customFormat="1" x14ac:dyDescent="0.35"/>
    <row r="3635" s="13" customFormat="1" x14ac:dyDescent="0.35"/>
    <row r="3636" s="13" customFormat="1" x14ac:dyDescent="0.35"/>
    <row r="3637" s="13" customFormat="1" x14ac:dyDescent="0.35"/>
    <row r="3638" s="13" customFormat="1" x14ac:dyDescent="0.35"/>
    <row r="3639" s="13" customFormat="1" x14ac:dyDescent="0.35"/>
    <row r="3640" s="13" customFormat="1" x14ac:dyDescent="0.35"/>
    <row r="3641" s="13" customFormat="1" x14ac:dyDescent="0.35"/>
    <row r="3642" s="13" customFormat="1" x14ac:dyDescent="0.35"/>
    <row r="3643" s="13" customFormat="1" x14ac:dyDescent="0.35"/>
    <row r="3644" s="13" customFormat="1" x14ac:dyDescent="0.35"/>
    <row r="3645" s="13" customFormat="1" x14ac:dyDescent="0.35"/>
    <row r="3646" s="13" customFormat="1" x14ac:dyDescent="0.35"/>
    <row r="3647" s="13" customFormat="1" x14ac:dyDescent="0.35"/>
    <row r="3648" s="13" customFormat="1" x14ac:dyDescent="0.35"/>
    <row r="3649" s="13" customFormat="1" x14ac:dyDescent="0.35"/>
    <row r="3650" s="13" customFormat="1" x14ac:dyDescent="0.35"/>
    <row r="3651" s="13" customFormat="1" x14ac:dyDescent="0.35"/>
    <row r="3652" s="13" customFormat="1" x14ac:dyDescent="0.35"/>
    <row r="3653" s="13" customFormat="1" x14ac:dyDescent="0.35"/>
    <row r="3654" s="13" customFormat="1" x14ac:dyDescent="0.35"/>
    <row r="3655" s="13" customFormat="1" x14ac:dyDescent="0.35"/>
    <row r="3656" s="13" customFormat="1" x14ac:dyDescent="0.35"/>
    <row r="3657" s="13" customFormat="1" x14ac:dyDescent="0.35"/>
    <row r="3658" s="13" customFormat="1" x14ac:dyDescent="0.35"/>
    <row r="3659" s="13" customFormat="1" x14ac:dyDescent="0.35"/>
    <row r="3660" s="13" customFormat="1" x14ac:dyDescent="0.35"/>
    <row r="3661" s="13" customFormat="1" x14ac:dyDescent="0.35"/>
    <row r="3662" s="13" customFormat="1" x14ac:dyDescent="0.35"/>
    <row r="3663" s="13" customFormat="1" x14ac:dyDescent="0.35"/>
    <row r="3664" s="13" customFormat="1" x14ac:dyDescent="0.35"/>
    <row r="3665" s="13" customFormat="1" x14ac:dyDescent="0.35"/>
    <row r="3666" s="13" customFormat="1" x14ac:dyDescent="0.35"/>
    <row r="3667" s="13" customFormat="1" x14ac:dyDescent="0.35"/>
    <row r="3668" s="13" customFormat="1" x14ac:dyDescent="0.35"/>
    <row r="3669" s="13" customFormat="1" x14ac:dyDescent="0.35"/>
    <row r="3670" s="13" customFormat="1" x14ac:dyDescent="0.35"/>
    <row r="3671" s="13" customFormat="1" x14ac:dyDescent="0.35"/>
    <row r="3672" s="13" customFormat="1" x14ac:dyDescent="0.35"/>
    <row r="3673" s="13" customFormat="1" x14ac:dyDescent="0.35"/>
    <row r="3674" s="13" customFormat="1" x14ac:dyDescent="0.35"/>
    <row r="3675" s="13" customFormat="1" x14ac:dyDescent="0.35"/>
    <row r="3676" s="13" customFormat="1" x14ac:dyDescent="0.35"/>
    <row r="3677" s="13" customFormat="1" x14ac:dyDescent="0.35"/>
    <row r="3678" s="13" customFormat="1" x14ac:dyDescent="0.35"/>
    <row r="3679" s="13" customFormat="1" x14ac:dyDescent="0.35"/>
    <row r="3680" s="13" customFormat="1" x14ac:dyDescent="0.35"/>
    <row r="3681" s="13" customFormat="1" x14ac:dyDescent="0.35"/>
    <row r="3682" s="13" customFormat="1" x14ac:dyDescent="0.35"/>
    <row r="3683" s="13" customFormat="1" x14ac:dyDescent="0.35"/>
    <row r="3684" s="13" customFormat="1" x14ac:dyDescent="0.35"/>
    <row r="3685" s="13" customFormat="1" x14ac:dyDescent="0.35"/>
    <row r="3686" s="13" customFormat="1" x14ac:dyDescent="0.35"/>
    <row r="3687" s="13" customFormat="1" x14ac:dyDescent="0.35"/>
    <row r="3688" s="13" customFormat="1" x14ac:dyDescent="0.35"/>
    <row r="3689" s="13" customFormat="1" x14ac:dyDescent="0.35"/>
    <row r="3690" s="13" customFormat="1" x14ac:dyDescent="0.35"/>
    <row r="3691" s="13" customFormat="1" x14ac:dyDescent="0.35"/>
    <row r="3692" s="13" customFormat="1" x14ac:dyDescent="0.35"/>
    <row r="3693" s="13" customFormat="1" x14ac:dyDescent="0.35"/>
    <row r="3694" s="13" customFormat="1" x14ac:dyDescent="0.35"/>
    <row r="3695" s="13" customFormat="1" x14ac:dyDescent="0.35"/>
    <row r="3696" s="13" customFormat="1" x14ac:dyDescent="0.35"/>
    <row r="3697" s="13" customFormat="1" x14ac:dyDescent="0.35"/>
    <row r="3698" s="13" customFormat="1" x14ac:dyDescent="0.35"/>
    <row r="3699" s="13" customFormat="1" x14ac:dyDescent="0.35"/>
    <row r="3700" s="13" customFormat="1" x14ac:dyDescent="0.35"/>
    <row r="3701" s="13" customFormat="1" x14ac:dyDescent="0.35"/>
    <row r="3702" s="13" customFormat="1" x14ac:dyDescent="0.35"/>
    <row r="3703" s="13" customFormat="1" x14ac:dyDescent="0.35"/>
    <row r="3704" s="13" customFormat="1" x14ac:dyDescent="0.35"/>
    <row r="3705" s="13" customFormat="1" x14ac:dyDescent="0.35"/>
    <row r="3706" s="13" customFormat="1" x14ac:dyDescent="0.35"/>
    <row r="3707" s="13" customFormat="1" x14ac:dyDescent="0.35"/>
    <row r="3708" s="13" customFormat="1" x14ac:dyDescent="0.35"/>
    <row r="3709" s="13" customFormat="1" x14ac:dyDescent="0.35"/>
    <row r="3710" s="13" customFormat="1" x14ac:dyDescent="0.35"/>
    <row r="3711" s="13" customFormat="1" x14ac:dyDescent="0.35"/>
    <row r="3712" s="13" customFormat="1" x14ac:dyDescent="0.35"/>
    <row r="3713" s="13" customFormat="1" x14ac:dyDescent="0.35"/>
    <row r="3714" s="13" customFormat="1" x14ac:dyDescent="0.35"/>
    <row r="3715" s="13" customFormat="1" x14ac:dyDescent="0.35"/>
    <row r="3716" s="13" customFormat="1" x14ac:dyDescent="0.35"/>
    <row r="3717" s="13" customFormat="1" x14ac:dyDescent="0.35"/>
    <row r="3718" s="13" customFormat="1" x14ac:dyDescent="0.35"/>
    <row r="3719" s="13" customFormat="1" x14ac:dyDescent="0.35"/>
    <row r="3720" s="13" customFormat="1" x14ac:dyDescent="0.35"/>
    <row r="3721" s="13" customFormat="1" x14ac:dyDescent="0.35"/>
    <row r="3722" s="13" customFormat="1" x14ac:dyDescent="0.35"/>
    <row r="3723" s="13" customFormat="1" x14ac:dyDescent="0.35"/>
    <row r="3724" s="13" customFormat="1" x14ac:dyDescent="0.35"/>
    <row r="3725" s="13" customFormat="1" x14ac:dyDescent="0.35"/>
    <row r="3726" s="13" customFormat="1" x14ac:dyDescent="0.35"/>
    <row r="3727" s="13" customFormat="1" x14ac:dyDescent="0.35"/>
    <row r="3728" s="13" customFormat="1" x14ac:dyDescent="0.35"/>
    <row r="3729" s="13" customFormat="1" x14ac:dyDescent="0.35"/>
    <row r="3730" s="13" customFormat="1" x14ac:dyDescent="0.35"/>
    <row r="3731" s="13" customFormat="1" x14ac:dyDescent="0.35"/>
    <row r="3732" s="13" customFormat="1" x14ac:dyDescent="0.35"/>
    <row r="3733" s="13" customFormat="1" x14ac:dyDescent="0.35"/>
    <row r="3734" s="13" customFormat="1" x14ac:dyDescent="0.35"/>
    <row r="3735" s="13" customFormat="1" x14ac:dyDescent="0.35"/>
    <row r="3736" s="13" customFormat="1" x14ac:dyDescent="0.35"/>
    <row r="3737" s="13" customFormat="1" x14ac:dyDescent="0.35"/>
    <row r="3738" s="13" customFormat="1" x14ac:dyDescent="0.35"/>
    <row r="3739" s="13" customFormat="1" x14ac:dyDescent="0.35"/>
    <row r="3740" s="13" customFormat="1" x14ac:dyDescent="0.35"/>
    <row r="3741" s="13" customFormat="1" x14ac:dyDescent="0.35"/>
    <row r="3742" s="13" customFormat="1" x14ac:dyDescent="0.35"/>
    <row r="3743" s="13" customFormat="1" x14ac:dyDescent="0.35"/>
    <row r="3744" s="13" customFormat="1" x14ac:dyDescent="0.35"/>
    <row r="3745" s="13" customFormat="1" x14ac:dyDescent="0.35"/>
    <row r="3746" s="13" customFormat="1" x14ac:dyDescent="0.35"/>
    <row r="3747" s="13" customFormat="1" x14ac:dyDescent="0.35"/>
    <row r="3748" s="13" customFormat="1" x14ac:dyDescent="0.35"/>
    <row r="3749" s="13" customFormat="1" x14ac:dyDescent="0.35"/>
    <row r="3750" s="13" customFormat="1" x14ac:dyDescent="0.35"/>
    <row r="3751" s="13" customFormat="1" x14ac:dyDescent="0.35"/>
    <row r="3752" s="13" customFormat="1" x14ac:dyDescent="0.35"/>
    <row r="3753" s="13" customFormat="1" x14ac:dyDescent="0.35"/>
    <row r="3754" s="13" customFormat="1" x14ac:dyDescent="0.35"/>
    <row r="3755" s="13" customFormat="1" x14ac:dyDescent="0.35"/>
    <row r="3756" s="13" customFormat="1" x14ac:dyDescent="0.35"/>
    <row r="3757" s="13" customFormat="1" x14ac:dyDescent="0.35"/>
    <row r="3758" s="13" customFormat="1" x14ac:dyDescent="0.35"/>
    <row r="3759" s="13" customFormat="1" x14ac:dyDescent="0.35"/>
    <row r="3760" s="13" customFormat="1" x14ac:dyDescent="0.35"/>
    <row r="3761" s="13" customFormat="1" x14ac:dyDescent="0.35"/>
    <row r="3762" s="13" customFormat="1" x14ac:dyDescent="0.35"/>
    <row r="3763" s="13" customFormat="1" x14ac:dyDescent="0.35"/>
    <row r="3764" s="13" customFormat="1" x14ac:dyDescent="0.35"/>
    <row r="3765" s="13" customFormat="1" x14ac:dyDescent="0.35"/>
    <row r="3766" s="13" customFormat="1" x14ac:dyDescent="0.35"/>
    <row r="3767" s="13" customFormat="1" x14ac:dyDescent="0.35"/>
    <row r="3768" s="13" customFormat="1" x14ac:dyDescent="0.35"/>
    <row r="3769" s="13" customFormat="1" x14ac:dyDescent="0.35"/>
    <row r="3770" s="13" customFormat="1" x14ac:dyDescent="0.35"/>
    <row r="3771" s="13" customFormat="1" x14ac:dyDescent="0.35"/>
    <row r="3772" s="13" customFormat="1" x14ac:dyDescent="0.35"/>
    <row r="3773" s="13" customFormat="1" x14ac:dyDescent="0.35"/>
    <row r="3774" s="13" customFormat="1" x14ac:dyDescent="0.35"/>
    <row r="3775" s="13" customFormat="1" x14ac:dyDescent="0.35"/>
    <row r="3776" s="13" customFormat="1" x14ac:dyDescent="0.35"/>
    <row r="3777" s="13" customFormat="1" x14ac:dyDescent="0.35"/>
    <row r="3778" s="13" customFormat="1" x14ac:dyDescent="0.35"/>
    <row r="3779" s="13" customFormat="1" x14ac:dyDescent="0.35"/>
    <row r="3780" s="13" customFormat="1" x14ac:dyDescent="0.35"/>
    <row r="3781" s="13" customFormat="1" x14ac:dyDescent="0.35"/>
    <row r="3782" s="13" customFormat="1" x14ac:dyDescent="0.35"/>
    <row r="3783" s="13" customFormat="1" x14ac:dyDescent="0.35"/>
    <row r="3784" s="13" customFormat="1" x14ac:dyDescent="0.35"/>
    <row r="3785" s="13" customFormat="1" x14ac:dyDescent="0.35"/>
    <row r="3786" s="13" customFormat="1" x14ac:dyDescent="0.35"/>
    <row r="3787" s="13" customFormat="1" x14ac:dyDescent="0.35"/>
    <row r="3788" s="13" customFormat="1" x14ac:dyDescent="0.35"/>
    <row r="3789" s="13" customFormat="1" x14ac:dyDescent="0.35"/>
    <row r="3790" s="13" customFormat="1" x14ac:dyDescent="0.35"/>
    <row r="3791" s="13" customFormat="1" x14ac:dyDescent="0.35"/>
    <row r="3792" s="13" customFormat="1" x14ac:dyDescent="0.35"/>
    <row r="3793" s="13" customFormat="1" x14ac:dyDescent="0.35"/>
    <row r="3794" s="13" customFormat="1" x14ac:dyDescent="0.35"/>
    <row r="3795" s="13" customFormat="1" x14ac:dyDescent="0.35"/>
    <row r="3796" s="13" customFormat="1" x14ac:dyDescent="0.35"/>
    <row r="3797" s="13" customFormat="1" x14ac:dyDescent="0.35"/>
    <row r="3798" s="13" customFormat="1" x14ac:dyDescent="0.35"/>
    <row r="3799" s="13" customFormat="1" x14ac:dyDescent="0.35"/>
    <row r="3800" s="13" customFormat="1" x14ac:dyDescent="0.35"/>
    <row r="3801" s="13" customFormat="1" x14ac:dyDescent="0.35"/>
    <row r="3802" s="13" customFormat="1" x14ac:dyDescent="0.35"/>
    <row r="3803" s="13" customFormat="1" x14ac:dyDescent="0.35"/>
    <row r="3804" s="13" customFormat="1" x14ac:dyDescent="0.35"/>
    <row r="3805" s="13" customFormat="1" x14ac:dyDescent="0.35"/>
    <row r="3806" s="13" customFormat="1" x14ac:dyDescent="0.35"/>
    <row r="3807" s="13" customFormat="1" x14ac:dyDescent="0.35"/>
    <row r="3808" s="13" customFormat="1" x14ac:dyDescent="0.35"/>
    <row r="3809" s="13" customFormat="1" x14ac:dyDescent="0.35"/>
    <row r="3810" s="13" customFormat="1" x14ac:dyDescent="0.35"/>
    <row r="3811" s="13" customFormat="1" x14ac:dyDescent="0.35"/>
    <row r="3812" s="13" customFormat="1" x14ac:dyDescent="0.35"/>
    <row r="3813" s="13" customFormat="1" x14ac:dyDescent="0.35"/>
    <row r="3814" s="13" customFormat="1" x14ac:dyDescent="0.35"/>
    <row r="3815" s="13" customFormat="1" x14ac:dyDescent="0.35"/>
    <row r="3816" s="13" customFormat="1" x14ac:dyDescent="0.35"/>
    <row r="3817" s="13" customFormat="1" x14ac:dyDescent="0.35"/>
    <row r="3818" s="13" customFormat="1" x14ac:dyDescent="0.35"/>
    <row r="3819" s="13" customFormat="1" x14ac:dyDescent="0.35"/>
    <row r="3820" s="13" customFormat="1" x14ac:dyDescent="0.35"/>
    <row r="3821" s="13" customFormat="1" x14ac:dyDescent="0.35"/>
    <row r="3822" s="13" customFormat="1" x14ac:dyDescent="0.35"/>
    <row r="3823" s="13" customFormat="1" x14ac:dyDescent="0.35"/>
    <row r="3824" s="13" customFormat="1" x14ac:dyDescent="0.35"/>
    <row r="3825" s="13" customFormat="1" x14ac:dyDescent="0.35"/>
    <row r="3826" s="13" customFormat="1" x14ac:dyDescent="0.35"/>
    <row r="3827" s="13" customFormat="1" x14ac:dyDescent="0.35"/>
    <row r="3828" s="13" customFormat="1" x14ac:dyDescent="0.35"/>
    <row r="3829" s="13" customFormat="1" x14ac:dyDescent="0.35"/>
    <row r="3830" s="13" customFormat="1" x14ac:dyDescent="0.35"/>
    <row r="3831" s="13" customFormat="1" x14ac:dyDescent="0.35"/>
    <row r="3832" s="13" customFormat="1" x14ac:dyDescent="0.35"/>
    <row r="3833" s="13" customFormat="1" x14ac:dyDescent="0.35"/>
    <row r="3834" s="13" customFormat="1" x14ac:dyDescent="0.35"/>
    <row r="3835" s="13" customFormat="1" x14ac:dyDescent="0.35"/>
    <row r="3836" s="13" customFormat="1" x14ac:dyDescent="0.35"/>
    <row r="3837" s="13" customFormat="1" x14ac:dyDescent="0.35"/>
    <row r="3838" s="13" customFormat="1" x14ac:dyDescent="0.35"/>
    <row r="3839" s="13" customFormat="1" x14ac:dyDescent="0.35"/>
    <row r="3840" s="13" customFormat="1" x14ac:dyDescent="0.35"/>
    <row r="3841" s="13" customFormat="1" x14ac:dyDescent="0.35"/>
    <row r="3842" s="13" customFormat="1" x14ac:dyDescent="0.35"/>
    <row r="3843" s="13" customFormat="1" x14ac:dyDescent="0.35"/>
    <row r="3844" s="13" customFormat="1" x14ac:dyDescent="0.35"/>
    <row r="3845" s="13" customFormat="1" x14ac:dyDescent="0.35"/>
    <row r="3846" s="13" customFormat="1" x14ac:dyDescent="0.35"/>
    <row r="3847" s="13" customFormat="1" x14ac:dyDescent="0.35"/>
    <row r="3848" s="13" customFormat="1" x14ac:dyDescent="0.35"/>
    <row r="3849" s="13" customFormat="1" x14ac:dyDescent="0.35"/>
    <row r="3850" s="13" customFormat="1" x14ac:dyDescent="0.35"/>
    <row r="3851" s="13" customFormat="1" x14ac:dyDescent="0.35"/>
    <row r="3852" s="13" customFormat="1" x14ac:dyDescent="0.35"/>
    <row r="3853" s="13" customFormat="1" x14ac:dyDescent="0.35"/>
    <row r="3854" s="13" customFormat="1" x14ac:dyDescent="0.35"/>
    <row r="3855" s="13" customFormat="1" x14ac:dyDescent="0.35"/>
    <row r="3856" s="13" customFormat="1" x14ac:dyDescent="0.35"/>
    <row r="3857" s="13" customFormat="1" x14ac:dyDescent="0.35"/>
    <row r="3858" s="13" customFormat="1" x14ac:dyDescent="0.35"/>
    <row r="3859" s="13" customFormat="1" x14ac:dyDescent="0.35"/>
    <row r="3860" s="13" customFormat="1" x14ac:dyDescent="0.35"/>
    <row r="3861" s="13" customFormat="1" x14ac:dyDescent="0.35"/>
    <row r="3862" s="13" customFormat="1" x14ac:dyDescent="0.35"/>
    <row r="3863" s="13" customFormat="1" x14ac:dyDescent="0.35"/>
    <row r="3864" s="13" customFormat="1" x14ac:dyDescent="0.35"/>
    <row r="3865" s="13" customFormat="1" x14ac:dyDescent="0.35"/>
    <row r="3866" s="13" customFormat="1" x14ac:dyDescent="0.35"/>
    <row r="3867" s="13" customFormat="1" x14ac:dyDescent="0.35"/>
    <row r="3868" s="13" customFormat="1" x14ac:dyDescent="0.35"/>
    <row r="3869" s="13" customFormat="1" x14ac:dyDescent="0.35"/>
    <row r="3870" s="13" customFormat="1" x14ac:dyDescent="0.35"/>
    <row r="3871" s="13" customFormat="1" x14ac:dyDescent="0.35"/>
    <row r="3872" s="13" customFormat="1" x14ac:dyDescent="0.35"/>
    <row r="3873" s="13" customFormat="1" x14ac:dyDescent="0.35"/>
    <row r="3874" s="13" customFormat="1" x14ac:dyDescent="0.35"/>
    <row r="3875" s="13" customFormat="1" x14ac:dyDescent="0.35"/>
    <row r="3876" s="13" customFormat="1" x14ac:dyDescent="0.35"/>
    <row r="3877" s="13" customFormat="1" x14ac:dyDescent="0.35"/>
    <row r="3878" s="13" customFormat="1" x14ac:dyDescent="0.35"/>
    <row r="3879" s="13" customFormat="1" x14ac:dyDescent="0.35"/>
    <row r="3880" s="13" customFormat="1" x14ac:dyDescent="0.35"/>
    <row r="3881" s="13" customFormat="1" x14ac:dyDescent="0.35"/>
    <row r="3882" s="13" customFormat="1" x14ac:dyDescent="0.35"/>
    <row r="3883" s="13" customFormat="1" x14ac:dyDescent="0.35"/>
    <row r="3884" s="13" customFormat="1" x14ac:dyDescent="0.35"/>
    <row r="3885" s="13" customFormat="1" x14ac:dyDescent="0.35"/>
    <row r="3886" s="13" customFormat="1" x14ac:dyDescent="0.35"/>
    <row r="3887" s="13" customFormat="1" x14ac:dyDescent="0.35"/>
    <row r="3888" s="13" customFormat="1" x14ac:dyDescent="0.35"/>
    <row r="3889" s="13" customFormat="1" x14ac:dyDescent="0.35"/>
    <row r="3890" s="13" customFormat="1" x14ac:dyDescent="0.35"/>
    <row r="3891" s="13" customFormat="1" x14ac:dyDescent="0.35"/>
    <row r="3892" s="13" customFormat="1" x14ac:dyDescent="0.35"/>
    <row r="3893" s="13" customFormat="1" x14ac:dyDescent="0.35"/>
    <row r="3894" s="13" customFormat="1" x14ac:dyDescent="0.35"/>
    <row r="3895" s="13" customFormat="1" x14ac:dyDescent="0.35"/>
    <row r="3896" s="13" customFormat="1" x14ac:dyDescent="0.35"/>
    <row r="3897" s="13" customFormat="1" x14ac:dyDescent="0.35"/>
    <row r="3898" s="13" customFormat="1" x14ac:dyDescent="0.35"/>
    <row r="3899" s="13" customFormat="1" x14ac:dyDescent="0.35"/>
    <row r="3900" s="13" customFormat="1" x14ac:dyDescent="0.35"/>
    <row r="3901" s="13" customFormat="1" x14ac:dyDescent="0.35"/>
    <row r="3902" s="13" customFormat="1" x14ac:dyDescent="0.35"/>
    <row r="3903" s="13" customFormat="1" x14ac:dyDescent="0.35"/>
    <row r="3904" s="13" customFormat="1" x14ac:dyDescent="0.35"/>
    <row r="3905" s="13" customFormat="1" x14ac:dyDescent="0.35"/>
    <row r="3906" s="13" customFormat="1" x14ac:dyDescent="0.35"/>
    <row r="3907" s="13" customFormat="1" x14ac:dyDescent="0.35"/>
    <row r="3908" s="13" customFormat="1" x14ac:dyDescent="0.35"/>
    <row r="3909" s="13" customFormat="1" x14ac:dyDescent="0.35"/>
    <row r="3910" s="13" customFormat="1" x14ac:dyDescent="0.35"/>
    <row r="3911" s="13" customFormat="1" x14ac:dyDescent="0.35"/>
    <row r="3912" s="13" customFormat="1" x14ac:dyDescent="0.35"/>
    <row r="3913" s="13" customFormat="1" x14ac:dyDescent="0.35"/>
    <row r="3914" s="13" customFormat="1" x14ac:dyDescent="0.35"/>
    <row r="3915" s="13" customFormat="1" x14ac:dyDescent="0.35"/>
    <row r="3916" s="13" customFormat="1" x14ac:dyDescent="0.35"/>
    <row r="3917" s="13" customFormat="1" x14ac:dyDescent="0.35"/>
    <row r="3918" s="13" customFormat="1" x14ac:dyDescent="0.35"/>
    <row r="3919" s="13" customFormat="1" x14ac:dyDescent="0.35"/>
    <row r="3920" s="13" customFormat="1" x14ac:dyDescent="0.35"/>
    <row r="3921" s="13" customFormat="1" x14ac:dyDescent="0.35"/>
    <row r="3922" s="13" customFormat="1" x14ac:dyDescent="0.35"/>
    <row r="3923" s="13" customFormat="1" x14ac:dyDescent="0.35"/>
    <row r="3924" s="13" customFormat="1" x14ac:dyDescent="0.35"/>
    <row r="3925" s="13" customFormat="1" x14ac:dyDescent="0.35"/>
    <row r="3926" s="13" customFormat="1" x14ac:dyDescent="0.35"/>
    <row r="3927" s="13" customFormat="1" x14ac:dyDescent="0.35"/>
    <row r="3928" s="13" customFormat="1" x14ac:dyDescent="0.35"/>
    <row r="3929" s="13" customFormat="1" x14ac:dyDescent="0.35"/>
    <row r="3930" s="13" customFormat="1" x14ac:dyDescent="0.35"/>
    <row r="3931" s="13" customFormat="1" x14ac:dyDescent="0.35"/>
    <row r="3932" s="13" customFormat="1" x14ac:dyDescent="0.35"/>
    <row r="3933" s="13" customFormat="1" x14ac:dyDescent="0.35"/>
    <row r="3934" s="13" customFormat="1" x14ac:dyDescent="0.35"/>
    <row r="3935" s="13" customFormat="1" x14ac:dyDescent="0.35"/>
    <row r="3936" s="13" customFormat="1" x14ac:dyDescent="0.35"/>
    <row r="3937" s="13" customFormat="1" x14ac:dyDescent="0.35"/>
    <row r="3938" s="13" customFormat="1" x14ac:dyDescent="0.35"/>
    <row r="3939" s="13" customFormat="1" x14ac:dyDescent="0.35"/>
    <row r="3940" s="13" customFormat="1" x14ac:dyDescent="0.35"/>
    <row r="3941" s="13" customFormat="1" x14ac:dyDescent="0.35"/>
    <row r="3942" s="13" customFormat="1" x14ac:dyDescent="0.35"/>
    <row r="3943" s="13" customFormat="1" x14ac:dyDescent="0.35"/>
    <row r="3944" s="13" customFormat="1" x14ac:dyDescent="0.35"/>
    <row r="3945" s="13" customFormat="1" x14ac:dyDescent="0.35"/>
    <row r="3946" s="13" customFormat="1" x14ac:dyDescent="0.35"/>
    <row r="3947" s="13" customFormat="1" x14ac:dyDescent="0.35"/>
    <row r="3948" s="13" customFormat="1" x14ac:dyDescent="0.35"/>
    <row r="3949" s="13" customFormat="1" x14ac:dyDescent="0.35"/>
    <row r="3950" s="13" customFormat="1" x14ac:dyDescent="0.35"/>
    <row r="3951" s="13" customFormat="1" x14ac:dyDescent="0.35"/>
    <row r="3952" s="13" customFormat="1" x14ac:dyDescent="0.35"/>
    <row r="3953" s="13" customFormat="1" x14ac:dyDescent="0.35"/>
    <row r="3954" s="13" customFormat="1" x14ac:dyDescent="0.35"/>
    <row r="3955" s="13" customFormat="1" x14ac:dyDescent="0.35"/>
    <row r="3956" s="13" customFormat="1" x14ac:dyDescent="0.35"/>
    <row r="3957" s="13" customFormat="1" x14ac:dyDescent="0.35"/>
    <row r="3958" s="13" customFormat="1" x14ac:dyDescent="0.35"/>
    <row r="3959" s="13" customFormat="1" x14ac:dyDescent="0.35"/>
    <row r="3960" s="13" customFormat="1" x14ac:dyDescent="0.35"/>
    <row r="3961" s="13" customFormat="1" x14ac:dyDescent="0.35"/>
    <row r="3962" s="13" customFormat="1" x14ac:dyDescent="0.35"/>
    <row r="3963" s="13" customFormat="1" x14ac:dyDescent="0.35"/>
    <row r="3964" s="13" customFormat="1" x14ac:dyDescent="0.35"/>
    <row r="3965" s="13" customFormat="1" x14ac:dyDescent="0.35"/>
    <row r="3966" s="13" customFormat="1" x14ac:dyDescent="0.35"/>
    <row r="3967" s="13" customFormat="1" x14ac:dyDescent="0.35"/>
    <row r="3968" s="13" customFormat="1" x14ac:dyDescent="0.35"/>
    <row r="3969" s="13" customFormat="1" x14ac:dyDescent="0.35"/>
    <row r="3970" s="13" customFormat="1" x14ac:dyDescent="0.35"/>
    <row r="3971" s="13" customFormat="1" x14ac:dyDescent="0.35"/>
    <row r="3972" s="13" customFormat="1" x14ac:dyDescent="0.35"/>
    <row r="3973" s="13" customFormat="1" x14ac:dyDescent="0.35"/>
    <row r="3974" s="13" customFormat="1" x14ac:dyDescent="0.35"/>
    <row r="3975" s="13" customFormat="1" x14ac:dyDescent="0.35"/>
    <row r="3976" s="13" customFormat="1" x14ac:dyDescent="0.35"/>
    <row r="3977" s="13" customFormat="1" x14ac:dyDescent="0.35"/>
    <row r="3978" s="13" customFormat="1" x14ac:dyDescent="0.35"/>
    <row r="3979" s="13" customFormat="1" x14ac:dyDescent="0.35"/>
    <row r="3980" s="13" customFormat="1" x14ac:dyDescent="0.35"/>
    <row r="3981" s="13" customFormat="1" x14ac:dyDescent="0.35"/>
    <row r="3982" s="13" customFormat="1" x14ac:dyDescent="0.35"/>
    <row r="3983" s="13" customFormat="1" x14ac:dyDescent="0.35"/>
    <row r="3984" s="13" customFormat="1" x14ac:dyDescent="0.35"/>
    <row r="3985" s="13" customFormat="1" x14ac:dyDescent="0.35"/>
    <row r="3986" s="13" customFormat="1" x14ac:dyDescent="0.35"/>
    <row r="3987" s="13" customFormat="1" x14ac:dyDescent="0.35"/>
    <row r="3988" s="13" customFormat="1" x14ac:dyDescent="0.35"/>
    <row r="3989" s="13" customFormat="1" x14ac:dyDescent="0.35"/>
    <row r="3990" s="13" customFormat="1" x14ac:dyDescent="0.35"/>
    <row r="3991" s="13" customFormat="1" x14ac:dyDescent="0.35"/>
    <row r="3992" s="13" customFormat="1" x14ac:dyDescent="0.35"/>
    <row r="3993" s="13" customFormat="1" x14ac:dyDescent="0.35"/>
    <row r="3994" s="13" customFormat="1" x14ac:dyDescent="0.35"/>
    <row r="3995" s="13" customFormat="1" x14ac:dyDescent="0.35"/>
    <row r="3996" s="13" customFormat="1" x14ac:dyDescent="0.35"/>
    <row r="3997" s="13" customFormat="1" x14ac:dyDescent="0.35"/>
    <row r="3998" s="13" customFormat="1" x14ac:dyDescent="0.35"/>
    <row r="3999" s="13" customFormat="1" x14ac:dyDescent="0.35"/>
    <row r="4000" s="13" customFormat="1" x14ac:dyDescent="0.35"/>
    <row r="4001" s="13" customFormat="1" x14ac:dyDescent="0.35"/>
    <row r="4002" s="13" customFormat="1" x14ac:dyDescent="0.35"/>
    <row r="4003" s="13" customFormat="1" x14ac:dyDescent="0.35"/>
    <row r="4004" s="13" customFormat="1" x14ac:dyDescent="0.35"/>
    <row r="4005" s="13" customFormat="1" x14ac:dyDescent="0.35"/>
    <row r="4006" s="13" customFormat="1" x14ac:dyDescent="0.35"/>
    <row r="4007" s="13" customFormat="1" x14ac:dyDescent="0.35"/>
    <row r="4008" s="13" customFormat="1" x14ac:dyDescent="0.35"/>
    <row r="4009" s="13" customFormat="1" x14ac:dyDescent="0.35"/>
    <row r="4010" s="13" customFormat="1" x14ac:dyDescent="0.35"/>
    <row r="4011" s="13" customFormat="1" x14ac:dyDescent="0.35"/>
    <row r="4012" s="13" customFormat="1" x14ac:dyDescent="0.35"/>
    <row r="4013" s="13" customFormat="1" x14ac:dyDescent="0.35"/>
    <row r="4014" s="13" customFormat="1" x14ac:dyDescent="0.35"/>
    <row r="4015" s="13" customFormat="1" x14ac:dyDescent="0.35"/>
    <row r="4016" s="13" customFormat="1" x14ac:dyDescent="0.35"/>
    <row r="4017" s="13" customFormat="1" x14ac:dyDescent="0.35"/>
    <row r="4018" s="13" customFormat="1" x14ac:dyDescent="0.35"/>
    <row r="4019" s="13" customFormat="1" x14ac:dyDescent="0.35"/>
    <row r="4020" s="13" customFormat="1" x14ac:dyDescent="0.35"/>
    <row r="4021" s="13" customFormat="1" x14ac:dyDescent="0.35"/>
    <row r="4022" s="13" customFormat="1" x14ac:dyDescent="0.35"/>
    <row r="4023" s="13" customFormat="1" x14ac:dyDescent="0.35"/>
    <row r="4024" s="13" customFormat="1" x14ac:dyDescent="0.35"/>
    <row r="4025" s="13" customFormat="1" x14ac:dyDescent="0.35"/>
    <row r="4026" s="13" customFormat="1" x14ac:dyDescent="0.35"/>
    <row r="4027" s="13" customFormat="1" x14ac:dyDescent="0.35"/>
    <row r="4028" s="13" customFormat="1" x14ac:dyDescent="0.35"/>
    <row r="4029" s="13" customFormat="1" x14ac:dyDescent="0.35"/>
    <row r="4030" s="13" customFormat="1" x14ac:dyDescent="0.35"/>
    <row r="4031" s="13" customFormat="1" x14ac:dyDescent="0.35"/>
    <row r="4032" s="13" customFormat="1" x14ac:dyDescent="0.35"/>
    <row r="4033" s="13" customFormat="1" x14ac:dyDescent="0.35"/>
    <row r="4034" s="13" customFormat="1" x14ac:dyDescent="0.35"/>
    <row r="4035" s="13" customFormat="1" x14ac:dyDescent="0.35"/>
    <row r="4036" s="13" customFormat="1" x14ac:dyDescent="0.35"/>
    <row r="4037" s="13" customFormat="1" x14ac:dyDescent="0.35"/>
    <row r="4038" s="13" customFormat="1" x14ac:dyDescent="0.35"/>
    <row r="4039" s="13" customFormat="1" x14ac:dyDescent="0.35"/>
    <row r="4040" s="13" customFormat="1" x14ac:dyDescent="0.35"/>
    <row r="4041" s="13" customFormat="1" x14ac:dyDescent="0.35"/>
    <row r="4042" s="13" customFormat="1" x14ac:dyDescent="0.35"/>
    <row r="4043" s="13" customFormat="1" x14ac:dyDescent="0.35"/>
    <row r="4044" s="13" customFormat="1" x14ac:dyDescent="0.35"/>
    <row r="4045" s="13" customFormat="1" x14ac:dyDescent="0.35"/>
    <row r="4046" s="13" customFormat="1" x14ac:dyDescent="0.35"/>
    <row r="4047" s="13" customFormat="1" x14ac:dyDescent="0.35"/>
    <row r="4048" s="13" customFormat="1" x14ac:dyDescent="0.35"/>
    <row r="4049" s="13" customFormat="1" x14ac:dyDescent="0.35"/>
    <row r="4050" s="13" customFormat="1" x14ac:dyDescent="0.35"/>
    <row r="4051" s="13" customFormat="1" x14ac:dyDescent="0.35"/>
    <row r="4052" s="13" customFormat="1" x14ac:dyDescent="0.35"/>
    <row r="4053" s="13" customFormat="1" x14ac:dyDescent="0.35"/>
    <row r="4054" s="13" customFormat="1" x14ac:dyDescent="0.35"/>
    <row r="4055" s="13" customFormat="1" x14ac:dyDescent="0.35"/>
    <row r="4056" s="13" customFormat="1" x14ac:dyDescent="0.35"/>
    <row r="4057" s="13" customFormat="1" x14ac:dyDescent="0.35"/>
    <row r="4058" s="13" customFormat="1" x14ac:dyDescent="0.35"/>
    <row r="4059" s="13" customFormat="1" x14ac:dyDescent="0.35"/>
    <row r="4060" s="13" customFormat="1" x14ac:dyDescent="0.35"/>
    <row r="4061" s="13" customFormat="1" x14ac:dyDescent="0.35"/>
    <row r="4062" s="13" customFormat="1" x14ac:dyDescent="0.35"/>
    <row r="4063" s="13" customFormat="1" x14ac:dyDescent="0.35"/>
    <row r="4064" s="13" customFormat="1" x14ac:dyDescent="0.35"/>
    <row r="4065" s="13" customFormat="1" x14ac:dyDescent="0.35"/>
    <row r="4066" s="13" customFormat="1" x14ac:dyDescent="0.35"/>
    <row r="4067" s="13" customFormat="1" x14ac:dyDescent="0.35"/>
    <row r="4068" s="13" customFormat="1" x14ac:dyDescent="0.35"/>
    <row r="4069" s="13" customFormat="1" x14ac:dyDescent="0.35"/>
    <row r="4070" s="13" customFormat="1" x14ac:dyDescent="0.35"/>
    <row r="4071" s="13" customFormat="1" x14ac:dyDescent="0.35"/>
    <row r="4072" s="13" customFormat="1" x14ac:dyDescent="0.35"/>
    <row r="4073" s="13" customFormat="1" x14ac:dyDescent="0.35"/>
    <row r="4074" s="13" customFormat="1" x14ac:dyDescent="0.35"/>
    <row r="4075" s="13" customFormat="1" x14ac:dyDescent="0.35"/>
    <row r="4076" s="13" customFormat="1" x14ac:dyDescent="0.35"/>
    <row r="4077" s="13" customFormat="1" x14ac:dyDescent="0.35"/>
    <row r="4078" s="13" customFormat="1" x14ac:dyDescent="0.35"/>
    <row r="4079" s="13" customFormat="1" x14ac:dyDescent="0.35"/>
    <row r="4080" s="13" customFormat="1" x14ac:dyDescent="0.35"/>
    <row r="4081" s="13" customFormat="1" x14ac:dyDescent="0.35"/>
    <row r="4082" s="13" customFormat="1" x14ac:dyDescent="0.35"/>
    <row r="4083" s="13" customFormat="1" x14ac:dyDescent="0.35"/>
    <row r="4084" s="13" customFormat="1" x14ac:dyDescent="0.35"/>
    <row r="4085" s="13" customFormat="1" x14ac:dyDescent="0.35"/>
    <row r="4086" s="13" customFormat="1" x14ac:dyDescent="0.35"/>
    <row r="4087" s="13" customFormat="1" x14ac:dyDescent="0.35"/>
    <row r="4088" s="13" customFormat="1" x14ac:dyDescent="0.35"/>
    <row r="4089" s="13" customFormat="1" x14ac:dyDescent="0.35"/>
    <row r="4090" s="13" customFormat="1" x14ac:dyDescent="0.35"/>
    <row r="4091" s="13" customFormat="1" x14ac:dyDescent="0.35"/>
    <row r="4092" s="13" customFormat="1" x14ac:dyDescent="0.35"/>
    <row r="4093" s="13" customFormat="1" x14ac:dyDescent="0.35"/>
    <row r="4094" s="13" customFormat="1" x14ac:dyDescent="0.35"/>
    <row r="4095" s="13" customFormat="1" x14ac:dyDescent="0.35"/>
    <row r="4096" s="13" customFormat="1" x14ac:dyDescent="0.35"/>
    <row r="4097" s="13" customFormat="1" x14ac:dyDescent="0.35"/>
    <row r="4098" s="13" customFormat="1" x14ac:dyDescent="0.35"/>
    <row r="4099" s="13" customFormat="1" x14ac:dyDescent="0.35"/>
    <row r="4100" s="13" customFormat="1" x14ac:dyDescent="0.35"/>
    <row r="4101" s="13" customFormat="1" x14ac:dyDescent="0.35"/>
    <row r="4102" s="13" customFormat="1" x14ac:dyDescent="0.35"/>
    <row r="4103" s="13" customFormat="1" x14ac:dyDescent="0.35"/>
    <row r="4104" s="13" customFormat="1" x14ac:dyDescent="0.35"/>
    <row r="4105" s="13" customFormat="1" x14ac:dyDescent="0.35"/>
    <row r="4106" s="13" customFormat="1" x14ac:dyDescent="0.35"/>
    <row r="4107" s="13" customFormat="1" x14ac:dyDescent="0.35"/>
    <row r="4108" s="13" customFormat="1" x14ac:dyDescent="0.35"/>
    <row r="4109" s="13" customFormat="1" x14ac:dyDescent="0.35"/>
    <row r="4110" s="13" customFormat="1" x14ac:dyDescent="0.35"/>
    <row r="4111" s="13" customFormat="1" x14ac:dyDescent="0.35"/>
    <row r="4112" s="13" customFormat="1" x14ac:dyDescent="0.35"/>
    <row r="4113" s="13" customFormat="1" x14ac:dyDescent="0.35"/>
    <row r="4114" s="13" customFormat="1" x14ac:dyDescent="0.35"/>
    <row r="4115" s="13" customFormat="1" x14ac:dyDescent="0.35"/>
    <row r="4116" s="13" customFormat="1" x14ac:dyDescent="0.35"/>
    <row r="4117" s="13" customFormat="1" x14ac:dyDescent="0.35"/>
    <row r="4118" s="13" customFormat="1" x14ac:dyDescent="0.35"/>
    <row r="4119" s="13" customFormat="1" x14ac:dyDescent="0.35"/>
    <row r="4120" s="13" customFormat="1" x14ac:dyDescent="0.35"/>
    <row r="4121" s="13" customFormat="1" x14ac:dyDescent="0.35"/>
    <row r="4122" s="13" customFormat="1" x14ac:dyDescent="0.35"/>
    <row r="4123" s="13" customFormat="1" x14ac:dyDescent="0.35"/>
    <row r="4124" s="13" customFormat="1" x14ac:dyDescent="0.35"/>
    <row r="4125" s="13" customFormat="1" x14ac:dyDescent="0.35"/>
    <row r="4126" s="13" customFormat="1" x14ac:dyDescent="0.35"/>
    <row r="4127" s="13" customFormat="1" x14ac:dyDescent="0.35"/>
    <row r="4128" s="13" customFormat="1" x14ac:dyDescent="0.35"/>
    <row r="4129" s="13" customFormat="1" x14ac:dyDescent="0.35"/>
    <row r="4130" s="13" customFormat="1" x14ac:dyDescent="0.35"/>
    <row r="4131" s="13" customFormat="1" x14ac:dyDescent="0.35"/>
    <row r="4132" s="13" customFormat="1" x14ac:dyDescent="0.35"/>
    <row r="4133" s="13" customFormat="1" x14ac:dyDescent="0.35"/>
    <row r="4134" s="13" customFormat="1" x14ac:dyDescent="0.35"/>
    <row r="4135" s="13" customFormat="1" x14ac:dyDescent="0.35"/>
    <row r="4136" s="13" customFormat="1" x14ac:dyDescent="0.35"/>
    <row r="4137" s="13" customFormat="1" x14ac:dyDescent="0.35"/>
    <row r="4138" s="13" customFormat="1" x14ac:dyDescent="0.35"/>
    <row r="4139" s="13" customFormat="1" x14ac:dyDescent="0.35"/>
    <row r="4140" s="13" customFormat="1" x14ac:dyDescent="0.35"/>
    <row r="4141" s="13" customFormat="1" x14ac:dyDescent="0.35"/>
    <row r="4142" s="13" customFormat="1" x14ac:dyDescent="0.35"/>
    <row r="4143" s="13" customFormat="1" x14ac:dyDescent="0.35"/>
    <row r="4144" s="13" customFormat="1" x14ac:dyDescent="0.35"/>
    <row r="4145" s="13" customFormat="1" x14ac:dyDescent="0.35"/>
    <row r="4146" s="13" customFormat="1" x14ac:dyDescent="0.35"/>
    <row r="4147" s="13" customFormat="1" x14ac:dyDescent="0.35"/>
    <row r="4148" s="13" customFormat="1" x14ac:dyDescent="0.35"/>
    <row r="4149" s="13" customFormat="1" x14ac:dyDescent="0.35"/>
    <row r="4150" s="13" customFormat="1" x14ac:dyDescent="0.35"/>
    <row r="4151" s="13" customFormat="1" x14ac:dyDescent="0.35"/>
    <row r="4152" s="13" customFormat="1" x14ac:dyDescent="0.35"/>
    <row r="4153" s="13" customFormat="1" x14ac:dyDescent="0.35"/>
    <row r="4154" s="13" customFormat="1" x14ac:dyDescent="0.35"/>
    <row r="4155" s="13" customFormat="1" x14ac:dyDescent="0.35"/>
    <row r="4156" s="13" customFormat="1" x14ac:dyDescent="0.35"/>
    <row r="4157" s="13" customFormat="1" x14ac:dyDescent="0.35"/>
    <row r="4158" s="13" customFormat="1" x14ac:dyDescent="0.35"/>
    <row r="4159" s="13" customFormat="1" x14ac:dyDescent="0.35"/>
    <row r="4160" s="13" customFormat="1" x14ac:dyDescent="0.35"/>
    <row r="4161" s="13" customFormat="1" x14ac:dyDescent="0.35"/>
    <row r="4162" s="13" customFormat="1" x14ac:dyDescent="0.35"/>
    <row r="4163" s="13" customFormat="1" x14ac:dyDescent="0.35"/>
    <row r="4164" s="13" customFormat="1" x14ac:dyDescent="0.35"/>
    <row r="4165" s="13" customFormat="1" x14ac:dyDescent="0.35"/>
    <row r="4166" s="13" customFormat="1" x14ac:dyDescent="0.35"/>
    <row r="4167" s="13" customFormat="1" x14ac:dyDescent="0.35"/>
    <row r="4168" s="13" customFormat="1" x14ac:dyDescent="0.35"/>
    <row r="4169" s="13" customFormat="1" x14ac:dyDescent="0.35"/>
    <row r="4170" s="13" customFormat="1" x14ac:dyDescent="0.35"/>
    <row r="4171" s="13" customFormat="1" x14ac:dyDescent="0.35"/>
    <row r="4172" s="13" customFormat="1" x14ac:dyDescent="0.35"/>
    <row r="4173" s="13" customFormat="1" x14ac:dyDescent="0.35"/>
    <row r="4174" s="13" customFormat="1" x14ac:dyDescent="0.35"/>
    <row r="4175" s="13" customFormat="1" x14ac:dyDescent="0.35"/>
    <row r="4176" s="13" customFormat="1" x14ac:dyDescent="0.35"/>
    <row r="4177" s="13" customFormat="1" x14ac:dyDescent="0.35"/>
    <row r="4178" s="13" customFormat="1" x14ac:dyDescent="0.35"/>
    <row r="4179" s="13" customFormat="1" x14ac:dyDescent="0.35"/>
    <row r="4180" s="13" customFormat="1" x14ac:dyDescent="0.35"/>
    <row r="4181" s="13" customFormat="1" x14ac:dyDescent="0.35"/>
    <row r="4182" s="13" customFormat="1" x14ac:dyDescent="0.35"/>
    <row r="4183" s="13" customFormat="1" x14ac:dyDescent="0.35"/>
    <row r="4184" s="13" customFormat="1" x14ac:dyDescent="0.35"/>
    <row r="4185" s="13" customFormat="1" x14ac:dyDescent="0.35"/>
    <row r="4186" s="13" customFormat="1" x14ac:dyDescent="0.35"/>
    <row r="4187" s="13" customFormat="1" x14ac:dyDescent="0.35"/>
    <row r="4188" s="13" customFormat="1" x14ac:dyDescent="0.35"/>
    <row r="4189" s="13" customFormat="1" x14ac:dyDescent="0.35"/>
    <row r="4190" s="13" customFormat="1" x14ac:dyDescent="0.35"/>
    <row r="4191" s="13" customFormat="1" x14ac:dyDescent="0.35"/>
    <row r="4192" s="13" customFormat="1" x14ac:dyDescent="0.35"/>
    <row r="4193" s="13" customFormat="1" x14ac:dyDescent="0.35"/>
    <row r="4194" s="13" customFormat="1" x14ac:dyDescent="0.35"/>
    <row r="4195" s="13" customFormat="1" x14ac:dyDescent="0.35"/>
    <row r="4196" s="13" customFormat="1" x14ac:dyDescent="0.35"/>
    <row r="4197" s="13" customFormat="1" x14ac:dyDescent="0.35"/>
    <row r="4198" s="13" customFormat="1" x14ac:dyDescent="0.35"/>
    <row r="4199" s="13" customFormat="1" x14ac:dyDescent="0.35"/>
    <row r="4200" s="13" customFormat="1" x14ac:dyDescent="0.35"/>
    <row r="4201" s="13" customFormat="1" x14ac:dyDescent="0.35"/>
    <row r="4202" s="13" customFormat="1" x14ac:dyDescent="0.35"/>
    <row r="4203" s="13" customFormat="1" x14ac:dyDescent="0.35"/>
    <row r="4204" s="13" customFormat="1" x14ac:dyDescent="0.35"/>
    <row r="4205" s="13" customFormat="1" x14ac:dyDescent="0.35"/>
    <row r="4206" s="13" customFormat="1" x14ac:dyDescent="0.35"/>
    <row r="4207" s="13" customFormat="1" x14ac:dyDescent="0.35"/>
    <row r="4208" s="13" customFormat="1" x14ac:dyDescent="0.35"/>
    <row r="4209" s="13" customFormat="1" x14ac:dyDescent="0.35"/>
    <row r="4210" s="13" customFormat="1" x14ac:dyDescent="0.35"/>
    <row r="4211" s="13" customFormat="1" x14ac:dyDescent="0.35"/>
    <row r="4212" s="13" customFormat="1" x14ac:dyDescent="0.35"/>
    <row r="4213" s="13" customFormat="1" x14ac:dyDescent="0.35"/>
    <row r="4214" s="13" customFormat="1" x14ac:dyDescent="0.35"/>
    <row r="4215" s="13" customFormat="1" x14ac:dyDescent="0.35"/>
    <row r="4216" s="13" customFormat="1" x14ac:dyDescent="0.35"/>
    <row r="4217" s="13" customFormat="1" x14ac:dyDescent="0.35"/>
    <row r="4218" s="13" customFormat="1" x14ac:dyDescent="0.35"/>
    <row r="4219" s="13" customFormat="1" x14ac:dyDescent="0.35"/>
    <row r="4220" s="13" customFormat="1" x14ac:dyDescent="0.35"/>
    <row r="4221" s="13" customFormat="1" x14ac:dyDescent="0.35"/>
    <row r="4222" s="13" customFormat="1" x14ac:dyDescent="0.35"/>
    <row r="4223" s="13" customFormat="1" x14ac:dyDescent="0.35"/>
    <row r="4224" s="13" customFormat="1" x14ac:dyDescent="0.35"/>
    <row r="4225" s="13" customFormat="1" x14ac:dyDescent="0.35"/>
    <row r="4226" s="13" customFormat="1" x14ac:dyDescent="0.35"/>
    <row r="4227" s="13" customFormat="1" x14ac:dyDescent="0.35"/>
    <row r="4228" s="13" customFormat="1" x14ac:dyDescent="0.35"/>
    <row r="4229" s="13" customFormat="1" x14ac:dyDescent="0.35"/>
    <row r="4230" s="13" customFormat="1" x14ac:dyDescent="0.35"/>
    <row r="4231" s="13" customFormat="1" x14ac:dyDescent="0.35"/>
    <row r="4232" s="13" customFormat="1" x14ac:dyDescent="0.35"/>
    <row r="4233" s="13" customFormat="1" x14ac:dyDescent="0.35"/>
    <row r="4234" s="13" customFormat="1" x14ac:dyDescent="0.35"/>
    <row r="4235" s="13" customFormat="1" x14ac:dyDescent="0.35"/>
    <row r="4236" s="13" customFormat="1" x14ac:dyDescent="0.35"/>
    <row r="4237" s="13" customFormat="1" x14ac:dyDescent="0.35"/>
    <row r="4238" s="13" customFormat="1" x14ac:dyDescent="0.35"/>
    <row r="4239" s="13" customFormat="1" x14ac:dyDescent="0.35"/>
    <row r="4240" s="13" customFormat="1" x14ac:dyDescent="0.35"/>
    <row r="4241" s="13" customFormat="1" x14ac:dyDescent="0.35"/>
    <row r="4242" s="13" customFormat="1" x14ac:dyDescent="0.35"/>
    <row r="4243" s="13" customFormat="1" x14ac:dyDescent="0.35"/>
    <row r="4244" s="13" customFormat="1" x14ac:dyDescent="0.35"/>
    <row r="4245" s="13" customFormat="1" x14ac:dyDescent="0.35"/>
    <row r="4246" s="13" customFormat="1" x14ac:dyDescent="0.35"/>
    <row r="4247" s="13" customFormat="1" x14ac:dyDescent="0.35"/>
    <row r="4248" s="13" customFormat="1" x14ac:dyDescent="0.35"/>
    <row r="4249" s="13" customFormat="1" x14ac:dyDescent="0.35"/>
    <row r="4250" s="13" customFormat="1" x14ac:dyDescent="0.35"/>
    <row r="4251" s="13" customFormat="1" x14ac:dyDescent="0.35"/>
    <row r="4252" s="13" customFormat="1" x14ac:dyDescent="0.35"/>
    <row r="4253" s="13" customFormat="1" x14ac:dyDescent="0.35"/>
    <row r="4254" s="13" customFormat="1" x14ac:dyDescent="0.35"/>
    <row r="4255" s="13" customFormat="1" x14ac:dyDescent="0.35"/>
    <row r="4256" s="13" customFormat="1" x14ac:dyDescent="0.35"/>
    <row r="4257" s="13" customFormat="1" x14ac:dyDescent="0.35"/>
    <row r="4258" s="13" customFormat="1" x14ac:dyDescent="0.35"/>
    <row r="4259" s="13" customFormat="1" x14ac:dyDescent="0.35"/>
    <row r="4260" s="13" customFormat="1" x14ac:dyDescent="0.35"/>
    <row r="4261" s="13" customFormat="1" x14ac:dyDescent="0.35"/>
    <row r="4262" s="13" customFormat="1" x14ac:dyDescent="0.35"/>
    <row r="4263" s="13" customFormat="1" x14ac:dyDescent="0.35"/>
    <row r="4264" s="13" customFormat="1" x14ac:dyDescent="0.35"/>
    <row r="4265" s="13" customFormat="1" x14ac:dyDescent="0.35"/>
    <row r="4266" s="13" customFormat="1" x14ac:dyDescent="0.35"/>
    <row r="4267" s="13" customFormat="1" x14ac:dyDescent="0.35"/>
    <row r="4268" s="13" customFormat="1" x14ac:dyDescent="0.35"/>
    <row r="4269" s="13" customFormat="1" x14ac:dyDescent="0.35"/>
    <row r="4270" s="13" customFormat="1" x14ac:dyDescent="0.35"/>
    <row r="4271" s="13" customFormat="1" x14ac:dyDescent="0.35"/>
    <row r="4272" s="13" customFormat="1" x14ac:dyDescent="0.35"/>
    <row r="4273" s="13" customFormat="1" x14ac:dyDescent="0.35"/>
    <row r="4274" s="13" customFormat="1" x14ac:dyDescent="0.35"/>
    <row r="4275" s="13" customFormat="1" x14ac:dyDescent="0.35"/>
    <row r="4276" s="13" customFormat="1" x14ac:dyDescent="0.35"/>
    <row r="4277" s="13" customFormat="1" x14ac:dyDescent="0.35"/>
    <row r="4278" s="13" customFormat="1" x14ac:dyDescent="0.35"/>
    <row r="4279" s="13" customFormat="1" x14ac:dyDescent="0.35"/>
    <row r="4280" s="13" customFormat="1" x14ac:dyDescent="0.35"/>
    <row r="4281" s="13" customFormat="1" x14ac:dyDescent="0.35"/>
    <row r="4282" s="13" customFormat="1" x14ac:dyDescent="0.35"/>
    <row r="4283" s="13" customFormat="1" x14ac:dyDescent="0.35"/>
    <row r="4284" s="13" customFormat="1" x14ac:dyDescent="0.35"/>
    <row r="4285" s="13" customFormat="1" x14ac:dyDescent="0.35"/>
    <row r="4286" s="13" customFormat="1" x14ac:dyDescent="0.35"/>
    <row r="4287" s="13" customFormat="1" x14ac:dyDescent="0.35"/>
    <row r="4288" s="13" customFormat="1" x14ac:dyDescent="0.35"/>
    <row r="4289" s="13" customFormat="1" x14ac:dyDescent="0.35"/>
    <row r="4290" s="13" customFormat="1" x14ac:dyDescent="0.35"/>
    <row r="4291" s="13" customFormat="1" x14ac:dyDescent="0.35"/>
    <row r="4292" s="13" customFormat="1" x14ac:dyDescent="0.35"/>
    <row r="4293" s="13" customFormat="1" x14ac:dyDescent="0.35"/>
    <row r="4294" s="13" customFormat="1" x14ac:dyDescent="0.35"/>
    <row r="4295" s="13" customFormat="1" x14ac:dyDescent="0.35"/>
    <row r="4296" s="13" customFormat="1" x14ac:dyDescent="0.35"/>
    <row r="4297" s="13" customFormat="1" x14ac:dyDescent="0.35"/>
    <row r="4298" s="13" customFormat="1" x14ac:dyDescent="0.35"/>
    <row r="4299" s="13" customFormat="1" x14ac:dyDescent="0.35"/>
    <row r="4300" s="13" customFormat="1" x14ac:dyDescent="0.35"/>
    <row r="4301" s="13" customFormat="1" x14ac:dyDescent="0.35"/>
    <row r="4302" s="13" customFormat="1" x14ac:dyDescent="0.35"/>
    <row r="4303" s="13" customFormat="1" x14ac:dyDescent="0.35"/>
    <row r="4304" s="13" customFormat="1" x14ac:dyDescent="0.35"/>
    <row r="4305" s="13" customFormat="1" x14ac:dyDescent="0.35"/>
    <row r="4306" s="13" customFormat="1" x14ac:dyDescent="0.35"/>
    <row r="4307" s="13" customFormat="1" x14ac:dyDescent="0.35"/>
    <row r="4308" s="13" customFormat="1" x14ac:dyDescent="0.35"/>
    <row r="4309" s="13" customFormat="1" x14ac:dyDescent="0.35"/>
    <row r="4310" s="13" customFormat="1" x14ac:dyDescent="0.35"/>
    <row r="4311" s="13" customFormat="1" x14ac:dyDescent="0.35"/>
    <row r="4312" s="13" customFormat="1" x14ac:dyDescent="0.35"/>
    <row r="4313" s="13" customFormat="1" x14ac:dyDescent="0.35"/>
    <row r="4314" s="13" customFormat="1" x14ac:dyDescent="0.35"/>
    <row r="4315" s="13" customFormat="1" x14ac:dyDescent="0.35"/>
    <row r="4316" s="13" customFormat="1" x14ac:dyDescent="0.35"/>
    <row r="4317" s="13" customFormat="1" x14ac:dyDescent="0.35"/>
    <row r="4318" s="13" customFormat="1" x14ac:dyDescent="0.35"/>
    <row r="4319" s="13" customFormat="1" x14ac:dyDescent="0.35"/>
    <row r="4320" s="13" customFormat="1" x14ac:dyDescent="0.35"/>
    <row r="4321" s="13" customFormat="1" x14ac:dyDescent="0.35"/>
    <row r="4322" s="13" customFormat="1" x14ac:dyDescent="0.35"/>
    <row r="4323" s="13" customFormat="1" x14ac:dyDescent="0.35"/>
    <row r="4324" s="13" customFormat="1" x14ac:dyDescent="0.35"/>
    <row r="4325" s="13" customFormat="1" x14ac:dyDescent="0.35"/>
    <row r="4326" s="13" customFormat="1" x14ac:dyDescent="0.35"/>
    <row r="4327" s="13" customFormat="1" x14ac:dyDescent="0.35"/>
    <row r="4328" s="13" customFormat="1" x14ac:dyDescent="0.35"/>
    <row r="4329" s="13" customFormat="1" x14ac:dyDescent="0.35"/>
    <row r="4330" s="13" customFormat="1" x14ac:dyDescent="0.35"/>
    <row r="4331" s="13" customFormat="1" x14ac:dyDescent="0.35"/>
    <row r="4332" s="13" customFormat="1" x14ac:dyDescent="0.35"/>
    <row r="4333" s="13" customFormat="1" x14ac:dyDescent="0.35"/>
    <row r="4334" s="13" customFormat="1" x14ac:dyDescent="0.35"/>
    <row r="4335" s="13" customFormat="1" x14ac:dyDescent="0.35"/>
    <row r="4336" s="13" customFormat="1" x14ac:dyDescent="0.35"/>
    <row r="4337" s="13" customFormat="1" x14ac:dyDescent="0.35"/>
    <row r="4338" s="13" customFormat="1" x14ac:dyDescent="0.35"/>
    <row r="4339" s="13" customFormat="1" x14ac:dyDescent="0.35"/>
    <row r="4340" s="13" customFormat="1" x14ac:dyDescent="0.35"/>
    <row r="4341" s="13" customFormat="1" x14ac:dyDescent="0.35"/>
    <row r="4342" s="13" customFormat="1" x14ac:dyDescent="0.35"/>
    <row r="4343" s="13" customFormat="1" x14ac:dyDescent="0.35"/>
    <row r="4344" s="13" customFormat="1" x14ac:dyDescent="0.35"/>
    <row r="4345" s="13" customFormat="1" x14ac:dyDescent="0.35"/>
    <row r="4346" s="13" customFormat="1" x14ac:dyDescent="0.35"/>
    <row r="4347" s="13" customFormat="1" x14ac:dyDescent="0.35"/>
    <row r="4348" s="13" customFormat="1" x14ac:dyDescent="0.35"/>
    <row r="4349" s="13" customFormat="1" x14ac:dyDescent="0.35"/>
    <row r="4350" s="13" customFormat="1" x14ac:dyDescent="0.35"/>
    <row r="4351" s="13" customFormat="1" x14ac:dyDescent="0.35"/>
    <row r="4352" s="13" customFormat="1" x14ac:dyDescent="0.35"/>
    <row r="4353" s="13" customFormat="1" x14ac:dyDescent="0.35"/>
    <row r="4354" s="13" customFormat="1" x14ac:dyDescent="0.35"/>
    <row r="4355" s="13" customFormat="1" x14ac:dyDescent="0.35"/>
    <row r="4356" s="13" customFormat="1" x14ac:dyDescent="0.35"/>
    <row r="4357" s="13" customFormat="1" x14ac:dyDescent="0.35"/>
    <row r="4358" s="13" customFormat="1" x14ac:dyDescent="0.35"/>
    <row r="4359" s="13" customFormat="1" x14ac:dyDescent="0.35"/>
    <row r="4360" s="13" customFormat="1" x14ac:dyDescent="0.35"/>
    <row r="4361" s="13" customFormat="1" x14ac:dyDescent="0.35"/>
    <row r="4362" s="13" customFormat="1" x14ac:dyDescent="0.35"/>
    <row r="4363" s="13" customFormat="1" x14ac:dyDescent="0.35"/>
    <row r="4364" s="13" customFormat="1" x14ac:dyDescent="0.35"/>
    <row r="4365" s="13" customFormat="1" x14ac:dyDescent="0.35"/>
    <row r="4366" s="13" customFormat="1" x14ac:dyDescent="0.35"/>
    <row r="4367" s="13" customFormat="1" x14ac:dyDescent="0.35"/>
    <row r="4368" s="13" customFormat="1" x14ac:dyDescent="0.35"/>
    <row r="4369" s="13" customFormat="1" x14ac:dyDescent="0.35"/>
    <row r="4370" s="13" customFormat="1" x14ac:dyDescent="0.35"/>
    <row r="4371" s="13" customFormat="1" x14ac:dyDescent="0.35"/>
    <row r="4372" s="13" customFormat="1" x14ac:dyDescent="0.35"/>
    <row r="4373" s="13" customFormat="1" x14ac:dyDescent="0.35"/>
    <row r="4374" s="13" customFormat="1" x14ac:dyDescent="0.35"/>
    <row r="4375" s="13" customFormat="1" x14ac:dyDescent="0.35"/>
    <row r="4376" s="13" customFormat="1" x14ac:dyDescent="0.35"/>
    <row r="4377" s="13" customFormat="1" x14ac:dyDescent="0.35"/>
    <row r="4378" s="13" customFormat="1" x14ac:dyDescent="0.35"/>
    <row r="4379" s="13" customFormat="1" x14ac:dyDescent="0.35"/>
    <row r="4380" s="13" customFormat="1" x14ac:dyDescent="0.35"/>
    <row r="4381" s="13" customFormat="1" x14ac:dyDescent="0.35"/>
    <row r="4382" s="13" customFormat="1" x14ac:dyDescent="0.35"/>
    <row r="4383" s="13" customFormat="1" x14ac:dyDescent="0.35"/>
    <row r="4384" s="13" customFormat="1" x14ac:dyDescent="0.35"/>
    <row r="4385" s="13" customFormat="1" x14ac:dyDescent="0.35"/>
    <row r="4386" s="13" customFormat="1" x14ac:dyDescent="0.35"/>
    <row r="4387" s="13" customFormat="1" x14ac:dyDescent="0.35"/>
    <row r="4388" s="13" customFormat="1" x14ac:dyDescent="0.35"/>
    <row r="4389" s="13" customFormat="1" x14ac:dyDescent="0.35"/>
    <row r="4390" s="13" customFormat="1" x14ac:dyDescent="0.35"/>
    <row r="4391" s="13" customFormat="1" x14ac:dyDescent="0.35"/>
    <row r="4392" s="13" customFormat="1" x14ac:dyDescent="0.35"/>
    <row r="4393" s="13" customFormat="1" x14ac:dyDescent="0.35"/>
    <row r="4394" s="13" customFormat="1" x14ac:dyDescent="0.35"/>
    <row r="4395" s="13" customFormat="1" x14ac:dyDescent="0.35"/>
    <row r="4396" s="13" customFormat="1" x14ac:dyDescent="0.35"/>
    <row r="4397" s="13" customFormat="1" x14ac:dyDescent="0.35"/>
    <row r="4398" s="13" customFormat="1" x14ac:dyDescent="0.35"/>
    <row r="4399" s="13" customFormat="1" x14ac:dyDescent="0.35"/>
    <row r="4400" s="13" customFormat="1" x14ac:dyDescent="0.35"/>
    <row r="4401" s="13" customFormat="1" x14ac:dyDescent="0.35"/>
    <row r="4402" s="13" customFormat="1" x14ac:dyDescent="0.35"/>
    <row r="4403" s="13" customFormat="1" x14ac:dyDescent="0.35"/>
    <row r="4404" s="13" customFormat="1" x14ac:dyDescent="0.35"/>
    <row r="4405" s="13" customFormat="1" x14ac:dyDescent="0.35"/>
    <row r="4406" s="13" customFormat="1" x14ac:dyDescent="0.35"/>
    <row r="4407" s="13" customFormat="1" x14ac:dyDescent="0.35"/>
    <row r="4408" s="13" customFormat="1" x14ac:dyDescent="0.35"/>
    <row r="4409" s="13" customFormat="1" x14ac:dyDescent="0.35"/>
    <row r="4410" s="13" customFormat="1" x14ac:dyDescent="0.35"/>
    <row r="4411" s="13" customFormat="1" x14ac:dyDescent="0.35"/>
    <row r="4412" s="13" customFormat="1" x14ac:dyDescent="0.35"/>
    <row r="4413" s="13" customFormat="1" x14ac:dyDescent="0.35"/>
    <row r="4414" s="13" customFormat="1" x14ac:dyDescent="0.35"/>
    <row r="4415" s="13" customFormat="1" x14ac:dyDescent="0.35"/>
    <row r="4416" s="13" customFormat="1" x14ac:dyDescent="0.35"/>
    <row r="4417" s="13" customFormat="1" x14ac:dyDescent="0.35"/>
    <row r="4418" s="13" customFormat="1" x14ac:dyDescent="0.35"/>
    <row r="4419" s="13" customFormat="1" x14ac:dyDescent="0.35"/>
    <row r="4420" s="13" customFormat="1" x14ac:dyDescent="0.35"/>
    <row r="4421" s="13" customFormat="1" x14ac:dyDescent="0.35"/>
    <row r="4422" s="13" customFormat="1" x14ac:dyDescent="0.35"/>
    <row r="4423" s="13" customFormat="1" x14ac:dyDescent="0.35"/>
    <row r="4424" s="13" customFormat="1" x14ac:dyDescent="0.35"/>
    <row r="4425" s="13" customFormat="1" x14ac:dyDescent="0.35"/>
    <row r="4426" s="13" customFormat="1" x14ac:dyDescent="0.35"/>
    <row r="4427" s="13" customFormat="1" x14ac:dyDescent="0.35"/>
    <row r="4428" s="13" customFormat="1" x14ac:dyDescent="0.35"/>
    <row r="4429" s="13" customFormat="1" x14ac:dyDescent="0.35"/>
    <row r="4430" s="13" customFormat="1" x14ac:dyDescent="0.35"/>
    <row r="4431" s="13" customFormat="1" x14ac:dyDescent="0.35"/>
    <row r="4432" s="13" customFormat="1" x14ac:dyDescent="0.35"/>
    <row r="4433" s="13" customFormat="1" x14ac:dyDescent="0.35"/>
    <row r="4434" s="13" customFormat="1" x14ac:dyDescent="0.35"/>
    <row r="4435" s="13" customFormat="1" x14ac:dyDescent="0.35"/>
    <row r="4436" s="13" customFormat="1" x14ac:dyDescent="0.35"/>
    <row r="4437" s="13" customFormat="1" x14ac:dyDescent="0.35"/>
    <row r="4438" s="13" customFormat="1" x14ac:dyDescent="0.35"/>
    <row r="4439" s="13" customFormat="1" x14ac:dyDescent="0.35"/>
    <row r="4440" s="13" customFormat="1" x14ac:dyDescent="0.35"/>
    <row r="4441" s="13" customFormat="1" x14ac:dyDescent="0.35"/>
    <row r="4442" s="13" customFormat="1" x14ac:dyDescent="0.35"/>
    <row r="4443" s="13" customFormat="1" x14ac:dyDescent="0.35"/>
    <row r="4444" s="13" customFormat="1" x14ac:dyDescent="0.35"/>
    <row r="4445" s="13" customFormat="1" x14ac:dyDescent="0.35"/>
    <row r="4446" s="13" customFormat="1" x14ac:dyDescent="0.35"/>
    <row r="4447" s="13" customFormat="1" x14ac:dyDescent="0.35"/>
    <row r="4448" s="13" customFormat="1" x14ac:dyDescent="0.35"/>
    <row r="4449" s="13" customFormat="1" x14ac:dyDescent="0.35"/>
    <row r="4450" s="13" customFormat="1" x14ac:dyDescent="0.35"/>
    <row r="4451" s="13" customFormat="1" x14ac:dyDescent="0.35"/>
    <row r="4452" s="13" customFormat="1" x14ac:dyDescent="0.35"/>
    <row r="4453" s="13" customFormat="1" x14ac:dyDescent="0.35"/>
    <row r="4454" s="13" customFormat="1" x14ac:dyDescent="0.35"/>
    <row r="4455" s="13" customFormat="1" x14ac:dyDescent="0.35"/>
    <row r="4456" s="13" customFormat="1" x14ac:dyDescent="0.35"/>
    <row r="4457" s="13" customFormat="1" x14ac:dyDescent="0.35"/>
    <row r="4458" s="13" customFormat="1" x14ac:dyDescent="0.35"/>
    <row r="4459" s="13" customFormat="1" x14ac:dyDescent="0.35"/>
    <row r="4460" s="13" customFormat="1" x14ac:dyDescent="0.35"/>
    <row r="4461" s="13" customFormat="1" x14ac:dyDescent="0.35"/>
    <row r="4462" s="13" customFormat="1" x14ac:dyDescent="0.35"/>
    <row r="4463" s="13" customFormat="1" x14ac:dyDescent="0.35"/>
    <row r="4464" s="13" customFormat="1" x14ac:dyDescent="0.35"/>
    <row r="4465" s="13" customFormat="1" x14ac:dyDescent="0.35"/>
    <row r="4466" s="13" customFormat="1" x14ac:dyDescent="0.35"/>
    <row r="4467" s="13" customFormat="1" x14ac:dyDescent="0.35"/>
    <row r="4468" s="13" customFormat="1" x14ac:dyDescent="0.35"/>
    <row r="4469" s="13" customFormat="1" x14ac:dyDescent="0.35"/>
    <row r="4470" s="13" customFormat="1" x14ac:dyDescent="0.35"/>
    <row r="4471" s="13" customFormat="1" x14ac:dyDescent="0.35"/>
    <row r="4472" s="13" customFormat="1" x14ac:dyDescent="0.35"/>
    <row r="4473" s="13" customFormat="1" x14ac:dyDescent="0.35"/>
    <row r="4474" s="13" customFormat="1" x14ac:dyDescent="0.35"/>
    <row r="4475" s="13" customFormat="1" x14ac:dyDescent="0.35"/>
    <row r="4476" s="13" customFormat="1" x14ac:dyDescent="0.35"/>
    <row r="4477" s="13" customFormat="1" x14ac:dyDescent="0.35"/>
    <row r="4478" s="13" customFormat="1" x14ac:dyDescent="0.35"/>
    <row r="4479" s="13" customFormat="1" x14ac:dyDescent="0.35"/>
    <row r="4480" s="13" customFormat="1" x14ac:dyDescent="0.35"/>
    <row r="4481" s="13" customFormat="1" x14ac:dyDescent="0.35"/>
    <row r="4482" s="13" customFormat="1" x14ac:dyDescent="0.35"/>
    <row r="4483" s="13" customFormat="1" x14ac:dyDescent="0.35"/>
    <row r="4484" s="13" customFormat="1" x14ac:dyDescent="0.35"/>
    <row r="4485" s="13" customFormat="1" x14ac:dyDescent="0.35"/>
    <row r="4486" s="13" customFormat="1" x14ac:dyDescent="0.35"/>
    <row r="4487" s="13" customFormat="1" x14ac:dyDescent="0.35"/>
    <row r="4488" s="13" customFormat="1" x14ac:dyDescent="0.35"/>
    <row r="4489" s="13" customFormat="1" x14ac:dyDescent="0.35"/>
    <row r="4490" s="13" customFormat="1" x14ac:dyDescent="0.35"/>
    <row r="4491" s="13" customFormat="1" x14ac:dyDescent="0.35"/>
    <row r="4492" s="13" customFormat="1" x14ac:dyDescent="0.35"/>
    <row r="4493" s="13" customFormat="1" x14ac:dyDescent="0.35"/>
    <row r="4494" s="13" customFormat="1" x14ac:dyDescent="0.35"/>
    <row r="4495" s="13" customFormat="1" x14ac:dyDescent="0.35"/>
    <row r="4496" s="13" customFormat="1" x14ac:dyDescent="0.35"/>
    <row r="4497" s="13" customFormat="1" x14ac:dyDescent="0.35"/>
    <row r="4498" s="13" customFormat="1" x14ac:dyDescent="0.35"/>
    <row r="4499" s="13" customFormat="1" x14ac:dyDescent="0.35"/>
    <row r="4500" s="13" customFormat="1" x14ac:dyDescent="0.35"/>
    <row r="4501" s="13" customFormat="1" x14ac:dyDescent="0.35"/>
    <row r="4502" s="13" customFormat="1" x14ac:dyDescent="0.35"/>
    <row r="4503" s="13" customFormat="1" x14ac:dyDescent="0.35"/>
    <row r="4504" s="13" customFormat="1" x14ac:dyDescent="0.35"/>
    <row r="4505" s="13" customFormat="1" x14ac:dyDescent="0.35"/>
    <row r="4506" s="13" customFormat="1" x14ac:dyDescent="0.35"/>
    <row r="4507" s="13" customFormat="1" x14ac:dyDescent="0.35"/>
    <row r="4508" s="13" customFormat="1" x14ac:dyDescent="0.35"/>
    <row r="4509" s="13" customFormat="1" x14ac:dyDescent="0.35"/>
    <row r="4510" s="13" customFormat="1" x14ac:dyDescent="0.35"/>
    <row r="4511" s="13" customFormat="1" x14ac:dyDescent="0.35"/>
    <row r="4512" s="13" customFormat="1" x14ac:dyDescent="0.35"/>
    <row r="4513" s="13" customFormat="1" x14ac:dyDescent="0.35"/>
    <row r="4514" s="13" customFormat="1" x14ac:dyDescent="0.35"/>
    <row r="4515" s="13" customFormat="1" x14ac:dyDescent="0.35"/>
    <row r="4516" s="13" customFormat="1" x14ac:dyDescent="0.35"/>
    <row r="4517" s="13" customFormat="1" x14ac:dyDescent="0.35"/>
    <row r="4518" s="13" customFormat="1" x14ac:dyDescent="0.35"/>
    <row r="4519" s="13" customFormat="1" x14ac:dyDescent="0.35"/>
    <row r="4520" s="13" customFormat="1" x14ac:dyDescent="0.35"/>
    <row r="4521" s="13" customFormat="1" x14ac:dyDescent="0.35"/>
    <row r="4522" s="13" customFormat="1" x14ac:dyDescent="0.35"/>
    <row r="4523" s="13" customFormat="1" x14ac:dyDescent="0.35"/>
    <row r="4524" s="13" customFormat="1" x14ac:dyDescent="0.35"/>
    <row r="4525" s="13" customFormat="1" x14ac:dyDescent="0.35"/>
    <row r="4526" s="13" customFormat="1" x14ac:dyDescent="0.35"/>
    <row r="4527" s="13" customFormat="1" x14ac:dyDescent="0.35"/>
    <row r="4528" s="13" customFormat="1" x14ac:dyDescent="0.35"/>
    <row r="4529" s="13" customFormat="1" x14ac:dyDescent="0.35"/>
    <row r="4530" s="13" customFormat="1" x14ac:dyDescent="0.35"/>
    <row r="4531" s="13" customFormat="1" x14ac:dyDescent="0.35"/>
    <row r="4532" s="13" customFormat="1" x14ac:dyDescent="0.35"/>
    <row r="4533" s="13" customFormat="1" x14ac:dyDescent="0.35"/>
    <row r="4534" s="13" customFormat="1" x14ac:dyDescent="0.35"/>
    <row r="4535" s="13" customFormat="1" x14ac:dyDescent="0.35"/>
    <row r="4536" s="13" customFormat="1" x14ac:dyDescent="0.35"/>
    <row r="4537" s="13" customFormat="1" x14ac:dyDescent="0.35"/>
    <row r="4538" s="13" customFormat="1" x14ac:dyDescent="0.35"/>
    <row r="4539" s="13" customFormat="1" x14ac:dyDescent="0.35"/>
    <row r="4540" s="13" customFormat="1" x14ac:dyDescent="0.35"/>
    <row r="4541" s="13" customFormat="1" x14ac:dyDescent="0.35"/>
    <row r="4542" s="13" customFormat="1" x14ac:dyDescent="0.35"/>
    <row r="4543" s="13" customFormat="1" x14ac:dyDescent="0.35"/>
    <row r="4544" s="13" customFormat="1" x14ac:dyDescent="0.35"/>
    <row r="4545" s="13" customFormat="1" x14ac:dyDescent="0.35"/>
    <row r="4546" s="13" customFormat="1" x14ac:dyDescent="0.35"/>
    <row r="4547" s="13" customFormat="1" x14ac:dyDescent="0.35"/>
    <row r="4548" s="13" customFormat="1" x14ac:dyDescent="0.35"/>
    <row r="4549" s="13" customFormat="1" x14ac:dyDescent="0.35"/>
    <row r="4550" s="13" customFormat="1" x14ac:dyDescent="0.35"/>
    <row r="4551" s="13" customFormat="1" x14ac:dyDescent="0.35"/>
    <row r="4552" s="13" customFormat="1" x14ac:dyDescent="0.35"/>
    <row r="4553" s="13" customFormat="1" x14ac:dyDescent="0.35"/>
    <row r="4554" s="13" customFormat="1" x14ac:dyDescent="0.35"/>
    <row r="4555" s="13" customFormat="1" x14ac:dyDescent="0.35"/>
    <row r="4556" s="13" customFormat="1" x14ac:dyDescent="0.35"/>
    <row r="4557" s="13" customFormat="1" x14ac:dyDescent="0.35"/>
    <row r="4558" s="13" customFormat="1" x14ac:dyDescent="0.35"/>
    <row r="4559" s="13" customFormat="1" x14ac:dyDescent="0.35"/>
    <row r="4560" s="13" customFormat="1" x14ac:dyDescent="0.35"/>
    <row r="4561" s="13" customFormat="1" x14ac:dyDescent="0.35"/>
    <row r="4562" s="13" customFormat="1" x14ac:dyDescent="0.35"/>
    <row r="4563" s="13" customFormat="1" x14ac:dyDescent="0.35"/>
    <row r="4564" s="13" customFormat="1" x14ac:dyDescent="0.35"/>
    <row r="4565" s="13" customFormat="1" x14ac:dyDescent="0.35"/>
    <row r="4566" s="13" customFormat="1" x14ac:dyDescent="0.35"/>
    <row r="4567" s="13" customFormat="1" x14ac:dyDescent="0.35"/>
    <row r="4568" s="13" customFormat="1" x14ac:dyDescent="0.35"/>
    <row r="4569" s="13" customFormat="1" x14ac:dyDescent="0.35"/>
    <row r="4570" s="13" customFormat="1" x14ac:dyDescent="0.35"/>
    <row r="4571" s="13" customFormat="1" x14ac:dyDescent="0.35"/>
    <row r="4572" s="13" customFormat="1" x14ac:dyDescent="0.35"/>
    <row r="4573" s="13" customFormat="1" x14ac:dyDescent="0.35"/>
    <row r="4574" s="13" customFormat="1" x14ac:dyDescent="0.35"/>
    <row r="4575" s="13" customFormat="1" x14ac:dyDescent="0.35"/>
    <row r="4576" s="13" customFormat="1" x14ac:dyDescent="0.35"/>
    <row r="4577" s="13" customFormat="1" x14ac:dyDescent="0.35"/>
    <row r="4578" s="13" customFormat="1" x14ac:dyDescent="0.35"/>
    <row r="4579" s="13" customFormat="1" x14ac:dyDescent="0.35"/>
    <row r="4580" s="13" customFormat="1" x14ac:dyDescent="0.35"/>
    <row r="4581" s="13" customFormat="1" x14ac:dyDescent="0.35"/>
    <row r="4582" s="13" customFormat="1" x14ac:dyDescent="0.35"/>
    <row r="4583" s="13" customFormat="1" x14ac:dyDescent="0.35"/>
    <row r="4584" s="13" customFormat="1" x14ac:dyDescent="0.35"/>
    <row r="4585" s="13" customFormat="1" x14ac:dyDescent="0.35"/>
    <row r="4586" s="13" customFormat="1" x14ac:dyDescent="0.35"/>
    <row r="4587" s="13" customFormat="1" x14ac:dyDescent="0.35"/>
    <row r="4588" s="13" customFormat="1" x14ac:dyDescent="0.35"/>
    <row r="4589" s="13" customFormat="1" x14ac:dyDescent="0.35"/>
    <row r="4590" s="13" customFormat="1" x14ac:dyDescent="0.35"/>
    <row r="4591" s="13" customFormat="1" x14ac:dyDescent="0.35"/>
    <row r="4592" s="13" customFormat="1" x14ac:dyDescent="0.35"/>
    <row r="4593" s="13" customFormat="1" x14ac:dyDescent="0.35"/>
    <row r="4594" s="13" customFormat="1" x14ac:dyDescent="0.35"/>
    <row r="4595" s="13" customFormat="1" x14ac:dyDescent="0.35"/>
    <row r="4596" s="13" customFormat="1" x14ac:dyDescent="0.35"/>
    <row r="4597" s="13" customFormat="1" x14ac:dyDescent="0.35"/>
    <row r="4598" s="13" customFormat="1" x14ac:dyDescent="0.35"/>
    <row r="4599" s="13" customFormat="1" x14ac:dyDescent="0.35"/>
    <row r="4600" s="13" customFormat="1" x14ac:dyDescent="0.35"/>
    <row r="4601" s="13" customFormat="1" x14ac:dyDescent="0.35"/>
    <row r="4602" s="13" customFormat="1" x14ac:dyDescent="0.35"/>
    <row r="4603" s="13" customFormat="1" x14ac:dyDescent="0.35"/>
    <row r="4604" s="13" customFormat="1" x14ac:dyDescent="0.35"/>
    <row r="4605" s="13" customFormat="1" x14ac:dyDescent="0.35"/>
    <row r="4606" s="13" customFormat="1" x14ac:dyDescent="0.35"/>
    <row r="4607" s="13" customFormat="1" x14ac:dyDescent="0.35"/>
    <row r="4608" s="13" customFormat="1" x14ac:dyDescent="0.35"/>
    <row r="4609" s="13" customFormat="1" x14ac:dyDescent="0.35"/>
    <row r="4610" s="13" customFormat="1" x14ac:dyDescent="0.35"/>
    <row r="4611" s="13" customFormat="1" x14ac:dyDescent="0.35"/>
    <row r="4612" s="13" customFormat="1" x14ac:dyDescent="0.35"/>
    <row r="4613" s="13" customFormat="1" x14ac:dyDescent="0.35"/>
    <row r="4614" s="13" customFormat="1" x14ac:dyDescent="0.35"/>
    <row r="4615" s="13" customFormat="1" x14ac:dyDescent="0.35"/>
    <row r="4616" s="13" customFormat="1" x14ac:dyDescent="0.35"/>
    <row r="4617" s="13" customFormat="1" x14ac:dyDescent="0.35"/>
    <row r="4618" s="13" customFormat="1" x14ac:dyDescent="0.35"/>
    <row r="4619" s="13" customFormat="1" x14ac:dyDescent="0.35"/>
    <row r="4620" s="13" customFormat="1" x14ac:dyDescent="0.35"/>
    <row r="4621" s="13" customFormat="1" x14ac:dyDescent="0.35"/>
    <row r="4622" s="13" customFormat="1" x14ac:dyDescent="0.35"/>
    <row r="4623" s="13" customFormat="1" x14ac:dyDescent="0.35"/>
    <row r="4624" s="13" customFormat="1" x14ac:dyDescent="0.35"/>
    <row r="4625" s="13" customFormat="1" x14ac:dyDescent="0.35"/>
    <row r="4626" s="13" customFormat="1" x14ac:dyDescent="0.35"/>
    <row r="4627" s="13" customFormat="1" x14ac:dyDescent="0.35"/>
    <row r="4628" s="13" customFormat="1" x14ac:dyDescent="0.35"/>
    <row r="4629" s="13" customFormat="1" x14ac:dyDescent="0.35"/>
    <row r="4630" s="13" customFormat="1" x14ac:dyDescent="0.35"/>
    <row r="4631" s="13" customFormat="1" x14ac:dyDescent="0.35"/>
    <row r="4632" s="13" customFormat="1" x14ac:dyDescent="0.35"/>
    <row r="4633" s="13" customFormat="1" x14ac:dyDescent="0.35"/>
    <row r="4634" s="13" customFormat="1" x14ac:dyDescent="0.35"/>
    <row r="4635" s="13" customFormat="1" x14ac:dyDescent="0.35"/>
    <row r="4636" s="13" customFormat="1" x14ac:dyDescent="0.35"/>
    <row r="4637" s="13" customFormat="1" x14ac:dyDescent="0.35"/>
    <row r="4638" s="13" customFormat="1" x14ac:dyDescent="0.35"/>
    <row r="4639" s="13" customFormat="1" x14ac:dyDescent="0.35"/>
    <row r="4640" s="13" customFormat="1" x14ac:dyDescent="0.35"/>
    <row r="4641" s="13" customFormat="1" x14ac:dyDescent="0.35"/>
    <row r="4642" s="13" customFormat="1" x14ac:dyDescent="0.35"/>
    <row r="4643" s="13" customFormat="1" x14ac:dyDescent="0.35"/>
    <row r="4644" s="13" customFormat="1" x14ac:dyDescent="0.35"/>
    <row r="4645" s="13" customFormat="1" x14ac:dyDescent="0.35"/>
    <row r="4646" s="13" customFormat="1" x14ac:dyDescent="0.35"/>
    <row r="4647" s="13" customFormat="1" x14ac:dyDescent="0.35"/>
    <row r="4648" s="13" customFormat="1" x14ac:dyDescent="0.35"/>
    <row r="4649" s="13" customFormat="1" x14ac:dyDescent="0.35"/>
    <row r="4650" s="13" customFormat="1" x14ac:dyDescent="0.35"/>
    <row r="4651" s="13" customFormat="1" x14ac:dyDescent="0.35"/>
    <row r="4652" s="13" customFormat="1" x14ac:dyDescent="0.35"/>
    <row r="4653" s="13" customFormat="1" x14ac:dyDescent="0.35"/>
    <row r="4654" s="13" customFormat="1" x14ac:dyDescent="0.35"/>
    <row r="4655" s="13" customFormat="1" x14ac:dyDescent="0.35"/>
    <row r="4656" s="13" customFormat="1" x14ac:dyDescent="0.35"/>
    <row r="4657" s="13" customFormat="1" x14ac:dyDescent="0.35"/>
    <row r="4658" s="13" customFormat="1" x14ac:dyDescent="0.35"/>
    <row r="4659" s="13" customFormat="1" x14ac:dyDescent="0.35"/>
    <row r="4660" s="13" customFormat="1" x14ac:dyDescent="0.35"/>
    <row r="4661" s="13" customFormat="1" x14ac:dyDescent="0.35"/>
    <row r="4662" s="13" customFormat="1" x14ac:dyDescent="0.35"/>
    <row r="4663" s="13" customFormat="1" x14ac:dyDescent="0.35"/>
    <row r="4664" s="13" customFormat="1" x14ac:dyDescent="0.35"/>
    <row r="4665" s="13" customFormat="1" x14ac:dyDescent="0.35"/>
    <row r="4666" s="13" customFormat="1" x14ac:dyDescent="0.35"/>
    <row r="4667" s="13" customFormat="1" x14ac:dyDescent="0.35"/>
    <row r="4668" s="13" customFormat="1" x14ac:dyDescent="0.35"/>
    <row r="4669" s="13" customFormat="1" x14ac:dyDescent="0.35"/>
    <row r="4670" s="13" customFormat="1" x14ac:dyDescent="0.35"/>
    <row r="4671" s="13" customFormat="1" x14ac:dyDescent="0.35"/>
    <row r="4672" s="13" customFormat="1" x14ac:dyDescent="0.35"/>
    <row r="4673" s="13" customFormat="1" x14ac:dyDescent="0.35"/>
    <row r="4674" s="13" customFormat="1" x14ac:dyDescent="0.35"/>
    <row r="4675" s="13" customFormat="1" x14ac:dyDescent="0.35"/>
    <row r="4676" s="13" customFormat="1" x14ac:dyDescent="0.35"/>
    <row r="4677" s="13" customFormat="1" x14ac:dyDescent="0.35"/>
    <row r="4678" s="13" customFormat="1" x14ac:dyDescent="0.35"/>
    <row r="4679" s="13" customFormat="1" x14ac:dyDescent="0.35"/>
    <row r="4680" s="13" customFormat="1" x14ac:dyDescent="0.35"/>
    <row r="4681" s="13" customFormat="1" x14ac:dyDescent="0.35"/>
    <row r="4682" s="13" customFormat="1" x14ac:dyDescent="0.35"/>
    <row r="4683" s="13" customFormat="1" x14ac:dyDescent="0.35"/>
    <row r="4684" s="13" customFormat="1" x14ac:dyDescent="0.35"/>
    <row r="4685" s="13" customFormat="1" x14ac:dyDescent="0.35"/>
    <row r="4686" s="13" customFormat="1" x14ac:dyDescent="0.35"/>
    <row r="4687" s="13" customFormat="1" x14ac:dyDescent="0.35"/>
    <row r="4688" s="13" customFormat="1" x14ac:dyDescent="0.35"/>
    <row r="4689" s="13" customFormat="1" x14ac:dyDescent="0.35"/>
    <row r="4690" s="13" customFormat="1" x14ac:dyDescent="0.35"/>
    <row r="4691" s="13" customFormat="1" x14ac:dyDescent="0.35"/>
    <row r="4692" s="13" customFormat="1" x14ac:dyDescent="0.35"/>
    <row r="4693" s="13" customFormat="1" x14ac:dyDescent="0.35"/>
    <row r="4694" s="13" customFormat="1" x14ac:dyDescent="0.35"/>
    <row r="4695" s="13" customFormat="1" x14ac:dyDescent="0.35"/>
    <row r="4696" s="13" customFormat="1" x14ac:dyDescent="0.35"/>
    <row r="4697" s="13" customFormat="1" x14ac:dyDescent="0.35"/>
    <row r="4698" s="13" customFormat="1" x14ac:dyDescent="0.35"/>
    <row r="4699" s="13" customFormat="1" x14ac:dyDescent="0.35"/>
    <row r="4700" s="13" customFormat="1" x14ac:dyDescent="0.35"/>
    <row r="4701" s="13" customFormat="1" x14ac:dyDescent="0.35"/>
    <row r="4702" s="13" customFormat="1" x14ac:dyDescent="0.35"/>
    <row r="4703" s="13" customFormat="1" x14ac:dyDescent="0.35"/>
    <row r="4704" s="13" customFormat="1" x14ac:dyDescent="0.35"/>
    <row r="4705" s="13" customFormat="1" x14ac:dyDescent="0.35"/>
    <row r="4706" s="13" customFormat="1" x14ac:dyDescent="0.35"/>
    <row r="4707" s="13" customFormat="1" x14ac:dyDescent="0.35"/>
    <row r="4708" s="13" customFormat="1" x14ac:dyDescent="0.35"/>
    <row r="4709" s="13" customFormat="1" x14ac:dyDescent="0.35"/>
    <row r="4710" s="13" customFormat="1" x14ac:dyDescent="0.35"/>
    <row r="4711" s="13" customFormat="1" x14ac:dyDescent="0.35"/>
    <row r="4712" s="13" customFormat="1" x14ac:dyDescent="0.35"/>
    <row r="4713" s="13" customFormat="1" x14ac:dyDescent="0.35"/>
    <row r="4714" s="13" customFormat="1" x14ac:dyDescent="0.35"/>
    <row r="4715" s="13" customFormat="1" x14ac:dyDescent="0.35"/>
    <row r="4716" s="13" customFormat="1" x14ac:dyDescent="0.35"/>
    <row r="4717" s="13" customFormat="1" x14ac:dyDescent="0.35"/>
    <row r="4718" s="13" customFormat="1" x14ac:dyDescent="0.35"/>
    <row r="4719" s="13" customFormat="1" x14ac:dyDescent="0.35"/>
    <row r="4720" s="13" customFormat="1" x14ac:dyDescent="0.35"/>
    <row r="4721" s="13" customFormat="1" x14ac:dyDescent="0.35"/>
    <row r="4722" s="13" customFormat="1" x14ac:dyDescent="0.35"/>
    <row r="4723" s="13" customFormat="1" x14ac:dyDescent="0.35"/>
    <row r="4724" s="13" customFormat="1" x14ac:dyDescent="0.35"/>
    <row r="4725" s="13" customFormat="1" x14ac:dyDescent="0.35"/>
    <row r="4726" s="13" customFormat="1" x14ac:dyDescent="0.35"/>
    <row r="4727" s="13" customFormat="1" x14ac:dyDescent="0.35"/>
    <row r="4728" s="13" customFormat="1" x14ac:dyDescent="0.35"/>
    <row r="4729" s="13" customFormat="1" x14ac:dyDescent="0.35"/>
    <row r="4730" s="13" customFormat="1" x14ac:dyDescent="0.35"/>
    <row r="4731" s="13" customFormat="1" x14ac:dyDescent="0.35"/>
    <row r="4732" s="13" customFormat="1" x14ac:dyDescent="0.35"/>
    <row r="4733" s="13" customFormat="1" x14ac:dyDescent="0.35"/>
    <row r="4734" s="13" customFormat="1" x14ac:dyDescent="0.35"/>
    <row r="4735" s="13" customFormat="1" x14ac:dyDescent="0.35"/>
    <row r="4736" s="13" customFormat="1" x14ac:dyDescent="0.35"/>
    <row r="4737" s="13" customFormat="1" x14ac:dyDescent="0.35"/>
    <row r="4738" s="13" customFormat="1" x14ac:dyDescent="0.35"/>
    <row r="4739" s="13" customFormat="1" x14ac:dyDescent="0.35"/>
    <row r="4740" s="13" customFormat="1" x14ac:dyDescent="0.35"/>
    <row r="4741" s="13" customFormat="1" x14ac:dyDescent="0.35"/>
    <row r="4742" s="13" customFormat="1" x14ac:dyDescent="0.35"/>
    <row r="4743" s="13" customFormat="1" x14ac:dyDescent="0.35"/>
    <row r="4744" s="13" customFormat="1" x14ac:dyDescent="0.35"/>
    <row r="4745" s="13" customFormat="1" x14ac:dyDescent="0.35"/>
    <row r="4746" s="13" customFormat="1" x14ac:dyDescent="0.35"/>
    <row r="4747" s="13" customFormat="1" x14ac:dyDescent="0.35"/>
    <row r="4748" s="13" customFormat="1" x14ac:dyDescent="0.35"/>
    <row r="4749" s="13" customFormat="1" x14ac:dyDescent="0.35"/>
    <row r="4750" s="13" customFormat="1" x14ac:dyDescent="0.35"/>
    <row r="4751" s="13" customFormat="1" x14ac:dyDescent="0.35"/>
    <row r="4752" s="13" customFormat="1" x14ac:dyDescent="0.35"/>
    <row r="4753" s="13" customFormat="1" x14ac:dyDescent="0.35"/>
    <row r="4754" s="13" customFormat="1" x14ac:dyDescent="0.35"/>
    <row r="4755" s="13" customFormat="1" x14ac:dyDescent="0.35"/>
    <row r="4756" s="13" customFormat="1" x14ac:dyDescent="0.35"/>
    <row r="4757" s="13" customFormat="1" x14ac:dyDescent="0.35"/>
    <row r="4758" s="13" customFormat="1" x14ac:dyDescent="0.35"/>
    <row r="4759" s="13" customFormat="1" x14ac:dyDescent="0.35"/>
    <row r="4760" s="13" customFormat="1" x14ac:dyDescent="0.35"/>
    <row r="4761" s="13" customFormat="1" x14ac:dyDescent="0.35"/>
    <row r="4762" s="13" customFormat="1" x14ac:dyDescent="0.35"/>
    <row r="4763" s="13" customFormat="1" x14ac:dyDescent="0.35"/>
    <row r="4764" s="13" customFormat="1" x14ac:dyDescent="0.35"/>
    <row r="4765" s="13" customFormat="1" x14ac:dyDescent="0.35"/>
    <row r="4766" s="13" customFormat="1" x14ac:dyDescent="0.35"/>
    <row r="4767" s="13" customFormat="1" x14ac:dyDescent="0.35"/>
    <row r="4768" s="13" customFormat="1" x14ac:dyDescent="0.35"/>
    <row r="4769" s="13" customFormat="1" x14ac:dyDescent="0.35"/>
    <row r="4770" s="13" customFormat="1" x14ac:dyDescent="0.35"/>
    <row r="4771" s="13" customFormat="1" x14ac:dyDescent="0.35"/>
    <row r="4772" s="13" customFormat="1" x14ac:dyDescent="0.35"/>
    <row r="4773" s="13" customFormat="1" x14ac:dyDescent="0.35"/>
    <row r="4774" s="13" customFormat="1" x14ac:dyDescent="0.35"/>
    <row r="4775" s="13" customFormat="1" x14ac:dyDescent="0.35"/>
    <row r="4776" s="13" customFormat="1" x14ac:dyDescent="0.35"/>
    <row r="4777" s="13" customFormat="1" x14ac:dyDescent="0.35"/>
    <row r="4778" s="13" customFormat="1" x14ac:dyDescent="0.35"/>
    <row r="4779" s="13" customFormat="1" x14ac:dyDescent="0.35"/>
    <row r="4780" s="13" customFormat="1" x14ac:dyDescent="0.35"/>
    <row r="4781" s="13" customFormat="1" x14ac:dyDescent="0.35"/>
    <row r="4782" s="13" customFormat="1" x14ac:dyDescent="0.35"/>
    <row r="4783" s="13" customFormat="1" x14ac:dyDescent="0.35"/>
    <row r="4784" s="13" customFormat="1" x14ac:dyDescent="0.35"/>
    <row r="4785" s="13" customFormat="1" x14ac:dyDescent="0.35"/>
    <row r="4786" s="13" customFormat="1" x14ac:dyDescent="0.35"/>
    <row r="4787" s="13" customFormat="1" x14ac:dyDescent="0.35"/>
    <row r="4788" s="13" customFormat="1" x14ac:dyDescent="0.35"/>
    <row r="4789" s="13" customFormat="1" x14ac:dyDescent="0.35"/>
    <row r="4790" s="13" customFormat="1" x14ac:dyDescent="0.35"/>
    <row r="4791" s="13" customFormat="1" x14ac:dyDescent="0.35"/>
    <row r="4792" s="13" customFormat="1" x14ac:dyDescent="0.35"/>
    <row r="4793" s="13" customFormat="1" x14ac:dyDescent="0.35"/>
    <row r="4794" s="13" customFormat="1" x14ac:dyDescent="0.35"/>
    <row r="4795" s="13" customFormat="1" x14ac:dyDescent="0.35"/>
    <row r="4796" s="13" customFormat="1" x14ac:dyDescent="0.35"/>
    <row r="4797" s="13" customFormat="1" x14ac:dyDescent="0.35"/>
    <row r="4798" s="13" customFormat="1" x14ac:dyDescent="0.35"/>
    <row r="4799" s="13" customFormat="1" x14ac:dyDescent="0.35"/>
    <row r="4800" s="13" customFormat="1" x14ac:dyDescent="0.35"/>
    <row r="4801" s="13" customFormat="1" x14ac:dyDescent="0.35"/>
    <row r="4802" s="13" customFormat="1" x14ac:dyDescent="0.35"/>
    <row r="4803" s="13" customFormat="1" x14ac:dyDescent="0.35"/>
    <row r="4804" s="13" customFormat="1" x14ac:dyDescent="0.35"/>
    <row r="4805" s="13" customFormat="1" x14ac:dyDescent="0.35"/>
    <row r="4806" s="13" customFormat="1" x14ac:dyDescent="0.35"/>
    <row r="4807" s="13" customFormat="1" x14ac:dyDescent="0.35"/>
    <row r="4808" s="13" customFormat="1" x14ac:dyDescent="0.35"/>
    <row r="4809" s="13" customFormat="1" x14ac:dyDescent="0.35"/>
    <row r="4810" s="13" customFormat="1" x14ac:dyDescent="0.35"/>
    <row r="4811" s="13" customFormat="1" x14ac:dyDescent="0.35"/>
    <row r="4812" s="13" customFormat="1" x14ac:dyDescent="0.35"/>
    <row r="4813" s="13" customFormat="1" x14ac:dyDescent="0.35"/>
    <row r="4814" s="13" customFormat="1" x14ac:dyDescent="0.35"/>
    <row r="4815" s="13" customFormat="1" x14ac:dyDescent="0.35"/>
    <row r="4816" s="13" customFormat="1" x14ac:dyDescent="0.35"/>
    <row r="4817" s="13" customFormat="1" x14ac:dyDescent="0.35"/>
    <row r="4818" s="13" customFormat="1" x14ac:dyDescent="0.35"/>
    <row r="4819" s="13" customFormat="1" x14ac:dyDescent="0.35"/>
    <row r="4820" s="13" customFormat="1" x14ac:dyDescent="0.35"/>
    <row r="4821" s="13" customFormat="1" x14ac:dyDescent="0.35"/>
    <row r="4822" s="13" customFormat="1" x14ac:dyDescent="0.35"/>
    <row r="4823" s="13" customFormat="1" x14ac:dyDescent="0.35"/>
    <row r="4824" s="13" customFormat="1" x14ac:dyDescent="0.35"/>
    <row r="4825" s="13" customFormat="1" x14ac:dyDescent="0.35"/>
    <row r="4826" s="13" customFormat="1" x14ac:dyDescent="0.35"/>
    <row r="4827" s="13" customFormat="1" x14ac:dyDescent="0.35"/>
    <row r="4828" s="13" customFormat="1" x14ac:dyDescent="0.35"/>
    <row r="4829" s="13" customFormat="1" x14ac:dyDescent="0.35"/>
    <row r="4830" s="13" customFormat="1" x14ac:dyDescent="0.35"/>
    <row r="4831" s="13" customFormat="1" x14ac:dyDescent="0.35"/>
    <row r="4832" s="13" customFormat="1" x14ac:dyDescent="0.35"/>
    <row r="4833" s="13" customFormat="1" x14ac:dyDescent="0.35"/>
    <row r="4834" s="13" customFormat="1" x14ac:dyDescent="0.35"/>
    <row r="4835" s="13" customFormat="1" x14ac:dyDescent="0.35"/>
    <row r="4836" s="13" customFormat="1" x14ac:dyDescent="0.35"/>
    <row r="4837" s="13" customFormat="1" x14ac:dyDescent="0.35"/>
    <row r="4838" s="13" customFormat="1" x14ac:dyDescent="0.35"/>
    <row r="4839" s="13" customFormat="1" x14ac:dyDescent="0.35"/>
    <row r="4840" s="13" customFormat="1" x14ac:dyDescent="0.35"/>
    <row r="4841" s="13" customFormat="1" x14ac:dyDescent="0.35"/>
    <row r="4842" s="13" customFormat="1" x14ac:dyDescent="0.35"/>
    <row r="4843" s="13" customFormat="1" x14ac:dyDescent="0.35"/>
    <row r="4844" s="13" customFormat="1" x14ac:dyDescent="0.35"/>
    <row r="4845" s="13" customFormat="1" x14ac:dyDescent="0.35"/>
    <row r="4846" s="13" customFormat="1" x14ac:dyDescent="0.35"/>
    <row r="4847" s="13" customFormat="1" x14ac:dyDescent="0.35"/>
    <row r="4848" s="13" customFormat="1" x14ac:dyDescent="0.35"/>
    <row r="4849" s="13" customFormat="1" x14ac:dyDescent="0.35"/>
    <row r="4850" s="13" customFormat="1" x14ac:dyDescent="0.35"/>
    <row r="4851" s="13" customFormat="1" x14ac:dyDescent="0.35"/>
    <row r="4852" s="13" customFormat="1" x14ac:dyDescent="0.35"/>
    <row r="4853" s="13" customFormat="1" x14ac:dyDescent="0.35"/>
    <row r="4854" s="13" customFormat="1" x14ac:dyDescent="0.35"/>
    <row r="4855" s="13" customFormat="1" x14ac:dyDescent="0.35"/>
    <row r="4856" s="13" customFormat="1" x14ac:dyDescent="0.35"/>
    <row r="4857" s="13" customFormat="1" x14ac:dyDescent="0.35"/>
    <row r="4858" s="13" customFormat="1" x14ac:dyDescent="0.35"/>
    <row r="4859" s="13" customFormat="1" x14ac:dyDescent="0.35"/>
    <row r="4860" s="13" customFormat="1" x14ac:dyDescent="0.35"/>
    <row r="4861" s="13" customFormat="1" x14ac:dyDescent="0.35"/>
    <row r="4862" s="13" customFormat="1" x14ac:dyDescent="0.35"/>
    <row r="4863" s="13" customFormat="1" x14ac:dyDescent="0.35"/>
    <row r="4864" s="13" customFormat="1" x14ac:dyDescent="0.35"/>
    <row r="4865" s="13" customFormat="1" x14ac:dyDescent="0.35"/>
    <row r="4866" s="13" customFormat="1" x14ac:dyDescent="0.35"/>
    <row r="4867" s="13" customFormat="1" x14ac:dyDescent="0.35"/>
    <row r="4868" s="13" customFormat="1" x14ac:dyDescent="0.35"/>
    <row r="4869" s="13" customFormat="1" x14ac:dyDescent="0.35"/>
    <row r="4870" s="13" customFormat="1" x14ac:dyDescent="0.35"/>
    <row r="4871" s="13" customFormat="1" x14ac:dyDescent="0.35"/>
    <row r="4872" s="13" customFormat="1" x14ac:dyDescent="0.35"/>
    <row r="4873" s="13" customFormat="1" x14ac:dyDescent="0.35"/>
    <row r="4874" s="13" customFormat="1" x14ac:dyDescent="0.35"/>
    <row r="4875" s="13" customFormat="1" x14ac:dyDescent="0.35"/>
    <row r="4876" s="13" customFormat="1" x14ac:dyDescent="0.35"/>
    <row r="4877" s="13" customFormat="1" x14ac:dyDescent="0.35"/>
    <row r="4878" s="13" customFormat="1" x14ac:dyDescent="0.35"/>
    <row r="4879" s="13" customFormat="1" x14ac:dyDescent="0.35"/>
    <row r="4880" s="13" customFormat="1" x14ac:dyDescent="0.35"/>
    <row r="4881" s="13" customFormat="1" x14ac:dyDescent="0.35"/>
    <row r="4882" s="13" customFormat="1" x14ac:dyDescent="0.35"/>
    <row r="4883" s="13" customFormat="1" x14ac:dyDescent="0.35"/>
    <row r="4884" s="13" customFormat="1" x14ac:dyDescent="0.35"/>
    <row r="4885" s="13" customFormat="1" x14ac:dyDescent="0.35"/>
    <row r="4886" s="13" customFormat="1" x14ac:dyDescent="0.35"/>
    <row r="4887" s="13" customFormat="1" x14ac:dyDescent="0.35"/>
    <row r="4888" s="13" customFormat="1" x14ac:dyDescent="0.35"/>
    <row r="4889" s="13" customFormat="1" x14ac:dyDescent="0.35"/>
    <row r="4890" s="13" customFormat="1" x14ac:dyDescent="0.35"/>
    <row r="4891" s="13" customFormat="1" x14ac:dyDescent="0.35"/>
    <row r="4892" s="13" customFormat="1" x14ac:dyDescent="0.35"/>
    <row r="4893" s="13" customFormat="1" x14ac:dyDescent="0.35"/>
    <row r="4894" s="13" customFormat="1" x14ac:dyDescent="0.35"/>
    <row r="4895" s="13" customFormat="1" x14ac:dyDescent="0.35"/>
    <row r="4896" s="13" customFormat="1" x14ac:dyDescent="0.35"/>
    <row r="4897" s="13" customFormat="1" x14ac:dyDescent="0.35"/>
    <row r="4898" s="13" customFormat="1" x14ac:dyDescent="0.35"/>
    <row r="4899" s="13" customFormat="1" x14ac:dyDescent="0.35"/>
    <row r="4900" s="13" customFormat="1" x14ac:dyDescent="0.35"/>
    <row r="4901" s="13" customFormat="1" x14ac:dyDescent="0.35"/>
    <row r="4902" s="13" customFormat="1" x14ac:dyDescent="0.35"/>
    <row r="4903" s="13" customFormat="1" x14ac:dyDescent="0.35"/>
    <row r="4904" s="13" customFormat="1" x14ac:dyDescent="0.35"/>
    <row r="4905" s="13" customFormat="1" x14ac:dyDescent="0.35"/>
    <row r="4906" s="13" customFormat="1" x14ac:dyDescent="0.35"/>
    <row r="4907" s="13" customFormat="1" x14ac:dyDescent="0.35"/>
    <row r="4908" s="13" customFormat="1" x14ac:dyDescent="0.35"/>
    <row r="4909" s="13" customFormat="1" x14ac:dyDescent="0.35"/>
    <row r="4910" s="13" customFormat="1" x14ac:dyDescent="0.35"/>
    <row r="4911" s="13" customFormat="1" x14ac:dyDescent="0.35"/>
    <row r="4912" s="13" customFormat="1" x14ac:dyDescent="0.35"/>
    <row r="4913" s="13" customFormat="1" x14ac:dyDescent="0.35"/>
    <row r="4914" s="13" customFormat="1" x14ac:dyDescent="0.35"/>
    <row r="4915" s="13" customFormat="1" x14ac:dyDescent="0.35"/>
    <row r="4916" s="13" customFormat="1" x14ac:dyDescent="0.35"/>
    <row r="4917" s="13" customFormat="1" x14ac:dyDescent="0.35"/>
    <row r="4918" s="13" customFormat="1" x14ac:dyDescent="0.35"/>
    <row r="4919" s="13" customFormat="1" x14ac:dyDescent="0.35"/>
    <row r="4920" s="13" customFormat="1" x14ac:dyDescent="0.35"/>
    <row r="4921" s="13" customFormat="1" x14ac:dyDescent="0.35"/>
    <row r="4922" s="13" customFormat="1" x14ac:dyDescent="0.35"/>
    <row r="4923" s="13" customFormat="1" x14ac:dyDescent="0.35"/>
    <row r="4924" s="13" customFormat="1" x14ac:dyDescent="0.35"/>
    <row r="4925" s="13" customFormat="1" x14ac:dyDescent="0.35"/>
    <row r="4926" s="13" customFormat="1" x14ac:dyDescent="0.35"/>
    <row r="4927" s="13" customFormat="1" x14ac:dyDescent="0.35"/>
    <row r="4928" s="13" customFormat="1" x14ac:dyDescent="0.35"/>
    <row r="4929" s="13" customFormat="1" x14ac:dyDescent="0.35"/>
    <row r="4930" s="13" customFormat="1" x14ac:dyDescent="0.35"/>
    <row r="4931" s="13" customFormat="1" x14ac:dyDescent="0.35"/>
    <row r="4932" s="13" customFormat="1" x14ac:dyDescent="0.35"/>
    <row r="4933" s="13" customFormat="1" x14ac:dyDescent="0.35"/>
    <row r="4934" s="13" customFormat="1" x14ac:dyDescent="0.35"/>
    <row r="4935" s="13" customFormat="1" x14ac:dyDescent="0.35"/>
    <row r="4936" s="13" customFormat="1" x14ac:dyDescent="0.35"/>
    <row r="4937" s="13" customFormat="1" x14ac:dyDescent="0.35"/>
    <row r="4938" s="13" customFormat="1" x14ac:dyDescent="0.35"/>
    <row r="4939" s="13" customFormat="1" x14ac:dyDescent="0.35"/>
    <row r="4940" s="13" customFormat="1" x14ac:dyDescent="0.35"/>
    <row r="4941" s="13" customFormat="1" x14ac:dyDescent="0.35"/>
    <row r="4942" s="13" customFormat="1" x14ac:dyDescent="0.35"/>
    <row r="4943" s="13" customFormat="1" x14ac:dyDescent="0.35"/>
    <row r="4944" s="13" customFormat="1" x14ac:dyDescent="0.35"/>
    <row r="4945" s="13" customFormat="1" x14ac:dyDescent="0.35"/>
    <row r="4946" s="13" customFormat="1" x14ac:dyDescent="0.35"/>
    <row r="4947" s="13" customFormat="1" x14ac:dyDescent="0.35"/>
    <row r="4948" s="13" customFormat="1" x14ac:dyDescent="0.35"/>
    <row r="4949" s="13" customFormat="1" x14ac:dyDescent="0.35"/>
    <row r="4950" s="13" customFormat="1" x14ac:dyDescent="0.35"/>
    <row r="4951" s="13" customFormat="1" x14ac:dyDescent="0.35"/>
    <row r="4952" s="13" customFormat="1" x14ac:dyDescent="0.35"/>
    <row r="4953" s="13" customFormat="1" x14ac:dyDescent="0.35"/>
    <row r="4954" s="13" customFormat="1" x14ac:dyDescent="0.35"/>
    <row r="4955" s="13" customFormat="1" x14ac:dyDescent="0.35"/>
    <row r="4956" s="13" customFormat="1" x14ac:dyDescent="0.35"/>
    <row r="4957" s="13" customFormat="1" x14ac:dyDescent="0.35"/>
    <row r="4958" s="13" customFormat="1" x14ac:dyDescent="0.35"/>
    <row r="4959" s="13" customFormat="1" x14ac:dyDescent="0.35"/>
    <row r="4960" s="13" customFormat="1" x14ac:dyDescent="0.35"/>
    <row r="4961" s="13" customFormat="1" x14ac:dyDescent="0.35"/>
    <row r="4962" s="13" customFormat="1" x14ac:dyDescent="0.35"/>
    <row r="4963" s="13" customFormat="1" x14ac:dyDescent="0.35"/>
    <row r="4964" s="13" customFormat="1" x14ac:dyDescent="0.35"/>
    <row r="4965" s="13" customFormat="1" x14ac:dyDescent="0.35"/>
    <row r="4966" s="13" customFormat="1" x14ac:dyDescent="0.35"/>
    <row r="4967" s="13" customFormat="1" x14ac:dyDescent="0.35"/>
    <row r="4968" s="13" customFormat="1" x14ac:dyDescent="0.35"/>
    <row r="4969" s="13" customFormat="1" x14ac:dyDescent="0.35"/>
    <row r="4970" s="13" customFormat="1" x14ac:dyDescent="0.35"/>
    <row r="4971" s="13" customFormat="1" x14ac:dyDescent="0.35"/>
    <row r="4972" s="13" customFormat="1" x14ac:dyDescent="0.35"/>
    <row r="4973" s="13" customFormat="1" x14ac:dyDescent="0.35"/>
    <row r="4974" s="13" customFormat="1" x14ac:dyDescent="0.35"/>
    <row r="4975" s="13" customFormat="1" x14ac:dyDescent="0.35"/>
    <row r="4976" s="13" customFormat="1" x14ac:dyDescent="0.35"/>
    <row r="4977" s="13" customFormat="1" x14ac:dyDescent="0.35"/>
    <row r="4978" s="13" customFormat="1" x14ac:dyDescent="0.35"/>
    <row r="4979" s="13" customFormat="1" x14ac:dyDescent="0.35"/>
    <row r="4980" s="13" customFormat="1" x14ac:dyDescent="0.35"/>
    <row r="4981" s="13" customFormat="1" x14ac:dyDescent="0.35"/>
    <row r="4982" s="13" customFormat="1" x14ac:dyDescent="0.35"/>
    <row r="4983" s="13" customFormat="1" x14ac:dyDescent="0.35"/>
    <row r="4984" s="13" customFormat="1" x14ac:dyDescent="0.35"/>
    <row r="4985" s="13" customFormat="1" x14ac:dyDescent="0.35"/>
    <row r="4986" s="13" customFormat="1" x14ac:dyDescent="0.35"/>
    <row r="4987" s="13" customFormat="1" x14ac:dyDescent="0.35"/>
    <row r="4988" s="13" customFormat="1" x14ac:dyDescent="0.35"/>
    <row r="4989" s="13" customFormat="1" x14ac:dyDescent="0.35"/>
    <row r="4990" s="13" customFormat="1" x14ac:dyDescent="0.35"/>
    <row r="4991" s="13" customFormat="1" x14ac:dyDescent="0.35"/>
    <row r="4992" s="13" customFormat="1" x14ac:dyDescent="0.35"/>
    <row r="4993" s="13" customFormat="1" x14ac:dyDescent="0.35"/>
    <row r="4994" s="13" customFormat="1" x14ac:dyDescent="0.35"/>
    <row r="4995" s="13" customFormat="1" x14ac:dyDescent="0.35"/>
    <row r="4996" s="13" customFormat="1" x14ac:dyDescent="0.35"/>
    <row r="4997" s="13" customFormat="1" x14ac:dyDescent="0.35"/>
    <row r="4998" s="13" customFormat="1" x14ac:dyDescent="0.35"/>
    <row r="4999" s="13" customFormat="1" x14ac:dyDescent="0.35"/>
    <row r="5000" s="13" customFormat="1" x14ac:dyDescent="0.35"/>
    <row r="5001" s="13" customFormat="1" x14ac:dyDescent="0.35"/>
    <row r="5002" s="13" customFormat="1" x14ac:dyDescent="0.35"/>
    <row r="5003" s="13" customFormat="1" x14ac:dyDescent="0.35"/>
    <row r="5004" s="13" customFormat="1" x14ac:dyDescent="0.35"/>
    <row r="5005" s="13" customFormat="1" x14ac:dyDescent="0.35"/>
    <row r="5006" s="13" customFormat="1" x14ac:dyDescent="0.35"/>
    <row r="5007" s="13" customFormat="1" x14ac:dyDescent="0.35"/>
    <row r="5008" s="13" customFormat="1" x14ac:dyDescent="0.35"/>
    <row r="5009" s="13" customFormat="1" x14ac:dyDescent="0.35"/>
    <row r="5010" s="13" customFormat="1" x14ac:dyDescent="0.35"/>
    <row r="5011" s="13" customFormat="1" x14ac:dyDescent="0.35"/>
    <row r="5012" s="13" customFormat="1" x14ac:dyDescent="0.35"/>
    <row r="5013" s="13" customFormat="1" x14ac:dyDescent="0.35"/>
    <row r="5014" s="13" customFormat="1" x14ac:dyDescent="0.35"/>
    <row r="5015" s="13" customFormat="1" x14ac:dyDescent="0.35"/>
    <row r="5016" s="13" customFormat="1" x14ac:dyDescent="0.35"/>
    <row r="5017" s="13" customFormat="1" x14ac:dyDescent="0.35"/>
    <row r="5018" s="13" customFormat="1" x14ac:dyDescent="0.35"/>
    <row r="5019" s="13" customFormat="1" x14ac:dyDescent="0.35"/>
    <row r="5020" s="13" customFormat="1" x14ac:dyDescent="0.35"/>
    <row r="5021" s="13" customFormat="1" x14ac:dyDescent="0.35"/>
    <row r="5022" s="13" customFormat="1" x14ac:dyDescent="0.35"/>
    <row r="5023" s="13" customFormat="1" x14ac:dyDescent="0.35"/>
    <row r="5024" s="13" customFormat="1" x14ac:dyDescent="0.35"/>
    <row r="5025" s="13" customFormat="1" x14ac:dyDescent="0.35"/>
    <row r="5026" s="13" customFormat="1" x14ac:dyDescent="0.35"/>
    <row r="5027" s="13" customFormat="1" x14ac:dyDescent="0.35"/>
    <row r="5028" s="13" customFormat="1" x14ac:dyDescent="0.35"/>
    <row r="5029" s="13" customFormat="1" x14ac:dyDescent="0.35"/>
    <row r="5030" s="13" customFormat="1" x14ac:dyDescent="0.35"/>
    <row r="5031" s="13" customFormat="1" x14ac:dyDescent="0.35"/>
    <row r="5032" s="13" customFormat="1" x14ac:dyDescent="0.35"/>
    <row r="5033" s="13" customFormat="1" x14ac:dyDescent="0.35"/>
    <row r="5034" s="13" customFormat="1" x14ac:dyDescent="0.35"/>
    <row r="5035" s="13" customFormat="1" x14ac:dyDescent="0.35"/>
    <row r="5036" s="13" customFormat="1" x14ac:dyDescent="0.35"/>
    <row r="5037" s="13" customFormat="1" x14ac:dyDescent="0.35"/>
    <row r="5038" s="13" customFormat="1" x14ac:dyDescent="0.35"/>
    <row r="5039" s="13" customFormat="1" x14ac:dyDescent="0.35"/>
    <row r="5040" s="13" customFormat="1" x14ac:dyDescent="0.35"/>
    <row r="5041" s="13" customFormat="1" x14ac:dyDescent="0.35"/>
    <row r="5042" s="13" customFormat="1" x14ac:dyDescent="0.35"/>
    <row r="5043" s="13" customFormat="1" x14ac:dyDescent="0.35"/>
    <row r="5044" s="13" customFormat="1" x14ac:dyDescent="0.35"/>
    <row r="5045" s="13" customFormat="1" x14ac:dyDescent="0.35"/>
    <row r="5046" s="13" customFormat="1" x14ac:dyDescent="0.35"/>
    <row r="5047" s="13" customFormat="1" x14ac:dyDescent="0.35"/>
    <row r="5048" s="13" customFormat="1" x14ac:dyDescent="0.35"/>
    <row r="5049" s="13" customFormat="1" x14ac:dyDescent="0.35"/>
    <row r="5050" s="13" customFormat="1" x14ac:dyDescent="0.35"/>
    <row r="5051" s="13" customFormat="1" x14ac:dyDescent="0.35"/>
    <row r="5052" s="13" customFormat="1" x14ac:dyDescent="0.35"/>
    <row r="5053" s="13" customFormat="1" x14ac:dyDescent="0.35"/>
    <row r="5054" s="13" customFormat="1" x14ac:dyDescent="0.35"/>
    <row r="5055" s="13" customFormat="1" x14ac:dyDescent="0.35"/>
    <row r="5056" s="13" customFormat="1" x14ac:dyDescent="0.35"/>
    <row r="5057" s="13" customFormat="1" x14ac:dyDescent="0.35"/>
    <row r="5058" s="13" customFormat="1" x14ac:dyDescent="0.35"/>
    <row r="5059" s="13" customFormat="1" x14ac:dyDescent="0.35"/>
    <row r="5060" s="13" customFormat="1" x14ac:dyDescent="0.35"/>
    <row r="5061" s="13" customFormat="1" x14ac:dyDescent="0.35"/>
    <row r="5062" s="13" customFormat="1" x14ac:dyDescent="0.35"/>
    <row r="5063" s="13" customFormat="1" x14ac:dyDescent="0.35"/>
    <row r="5064" s="13" customFormat="1" x14ac:dyDescent="0.35"/>
    <row r="5065" s="13" customFormat="1" x14ac:dyDescent="0.35"/>
    <row r="5066" s="13" customFormat="1" x14ac:dyDescent="0.35"/>
    <row r="5067" s="13" customFormat="1" x14ac:dyDescent="0.35"/>
    <row r="5068" s="13" customFormat="1" x14ac:dyDescent="0.35"/>
    <row r="5069" s="13" customFormat="1" x14ac:dyDescent="0.35"/>
    <row r="5070" s="13" customFormat="1" x14ac:dyDescent="0.35"/>
    <row r="5071" s="13" customFormat="1" x14ac:dyDescent="0.35"/>
    <row r="5072" s="13" customFormat="1" x14ac:dyDescent="0.35"/>
    <row r="5073" s="13" customFormat="1" x14ac:dyDescent="0.35"/>
    <row r="5074" s="13" customFormat="1" x14ac:dyDescent="0.35"/>
    <row r="5075" s="13" customFormat="1" x14ac:dyDescent="0.35"/>
    <row r="5076" s="13" customFormat="1" x14ac:dyDescent="0.35"/>
    <row r="5077" s="13" customFormat="1" x14ac:dyDescent="0.35"/>
    <row r="5078" s="13" customFormat="1" x14ac:dyDescent="0.35"/>
    <row r="5079" s="13" customFormat="1" x14ac:dyDescent="0.35"/>
    <row r="5080" s="13" customFormat="1" x14ac:dyDescent="0.35"/>
    <row r="5081" s="13" customFormat="1" x14ac:dyDescent="0.35"/>
    <row r="5082" s="13" customFormat="1" x14ac:dyDescent="0.35"/>
    <row r="5083" s="13" customFormat="1" x14ac:dyDescent="0.35"/>
    <row r="5084" s="13" customFormat="1" x14ac:dyDescent="0.35"/>
    <row r="5085" s="13" customFormat="1" x14ac:dyDescent="0.35"/>
    <row r="5086" s="13" customFormat="1" x14ac:dyDescent="0.35"/>
    <row r="5087" s="13" customFormat="1" x14ac:dyDescent="0.35"/>
    <row r="5088" s="13" customFormat="1" x14ac:dyDescent="0.35"/>
    <row r="5089" s="13" customFormat="1" x14ac:dyDescent="0.35"/>
    <row r="5090" s="13" customFormat="1" x14ac:dyDescent="0.35"/>
    <row r="5091" s="13" customFormat="1" x14ac:dyDescent="0.35"/>
    <row r="5092" s="13" customFormat="1" x14ac:dyDescent="0.35"/>
    <row r="5093" s="13" customFormat="1" x14ac:dyDescent="0.35"/>
    <row r="5094" s="13" customFormat="1" x14ac:dyDescent="0.35"/>
    <row r="5095" s="13" customFormat="1" x14ac:dyDescent="0.35"/>
    <row r="5096" s="13" customFormat="1" x14ac:dyDescent="0.35"/>
    <row r="5097" s="13" customFormat="1" x14ac:dyDescent="0.35"/>
    <row r="5098" s="13" customFormat="1" x14ac:dyDescent="0.35"/>
    <row r="5099" s="13" customFormat="1" x14ac:dyDescent="0.35"/>
    <row r="5100" s="13" customFormat="1" x14ac:dyDescent="0.35"/>
    <row r="5101" s="13" customFormat="1" x14ac:dyDescent="0.35"/>
    <row r="5102" s="13" customFormat="1" x14ac:dyDescent="0.35"/>
    <row r="5103" s="13" customFormat="1" x14ac:dyDescent="0.35"/>
    <row r="5104" s="13" customFormat="1" x14ac:dyDescent="0.35"/>
    <row r="5105" s="13" customFormat="1" x14ac:dyDescent="0.35"/>
    <row r="5106" s="13" customFormat="1" x14ac:dyDescent="0.35"/>
    <row r="5107" s="13" customFormat="1" x14ac:dyDescent="0.35"/>
    <row r="5108" s="13" customFormat="1" x14ac:dyDescent="0.35"/>
    <row r="5109" s="13" customFormat="1" x14ac:dyDescent="0.35"/>
    <row r="5110" s="13" customFormat="1" x14ac:dyDescent="0.35"/>
    <row r="5111" s="13" customFormat="1" x14ac:dyDescent="0.35"/>
    <row r="5112" s="13" customFormat="1" x14ac:dyDescent="0.35"/>
    <row r="5113" s="13" customFormat="1" x14ac:dyDescent="0.35"/>
    <row r="5114" s="13" customFormat="1" x14ac:dyDescent="0.35"/>
    <row r="5115" s="13" customFormat="1" x14ac:dyDescent="0.35"/>
    <row r="5116" s="13" customFormat="1" x14ac:dyDescent="0.35"/>
    <row r="5117" s="13" customFormat="1" x14ac:dyDescent="0.35"/>
    <row r="5118" s="13" customFormat="1" x14ac:dyDescent="0.35"/>
    <row r="5119" s="13" customFormat="1" x14ac:dyDescent="0.35"/>
    <row r="5120" s="13" customFormat="1" x14ac:dyDescent="0.35"/>
    <row r="5121" s="13" customFormat="1" x14ac:dyDescent="0.35"/>
    <row r="5122" s="13" customFormat="1" x14ac:dyDescent="0.35"/>
    <row r="5123" s="13" customFormat="1" x14ac:dyDescent="0.35"/>
    <row r="5124" s="13" customFormat="1" x14ac:dyDescent="0.35"/>
    <row r="5125" s="13" customFormat="1" x14ac:dyDescent="0.35"/>
    <row r="5126" s="13" customFormat="1" x14ac:dyDescent="0.35"/>
    <row r="5127" s="13" customFormat="1" x14ac:dyDescent="0.35"/>
    <row r="5128" s="13" customFormat="1" x14ac:dyDescent="0.35"/>
    <row r="5129" s="13" customFormat="1" x14ac:dyDescent="0.35"/>
    <row r="5130" s="13" customFormat="1" x14ac:dyDescent="0.35"/>
    <row r="5131" s="13" customFormat="1" x14ac:dyDescent="0.35"/>
    <row r="5132" s="13" customFormat="1" x14ac:dyDescent="0.35"/>
    <row r="5133" s="13" customFormat="1" x14ac:dyDescent="0.35"/>
    <row r="5134" s="13" customFormat="1" x14ac:dyDescent="0.35"/>
    <row r="5135" s="13" customFormat="1" x14ac:dyDescent="0.35"/>
    <row r="5136" s="13" customFormat="1" x14ac:dyDescent="0.35"/>
    <row r="5137" s="13" customFormat="1" x14ac:dyDescent="0.35"/>
    <row r="5138" s="13" customFormat="1" x14ac:dyDescent="0.35"/>
    <row r="5139" s="13" customFormat="1" x14ac:dyDescent="0.35"/>
    <row r="5140" s="13" customFormat="1" x14ac:dyDescent="0.35"/>
    <row r="5141" s="13" customFormat="1" x14ac:dyDescent="0.35"/>
    <row r="5142" s="13" customFormat="1" x14ac:dyDescent="0.35"/>
    <row r="5143" s="13" customFormat="1" x14ac:dyDescent="0.35"/>
    <row r="5144" s="13" customFormat="1" x14ac:dyDescent="0.35"/>
    <row r="5145" s="13" customFormat="1" x14ac:dyDescent="0.35"/>
    <row r="5146" s="13" customFormat="1" x14ac:dyDescent="0.35"/>
    <row r="5147" s="13" customFormat="1" x14ac:dyDescent="0.35"/>
    <row r="5148" s="13" customFormat="1" x14ac:dyDescent="0.35"/>
    <row r="5149" s="13" customFormat="1" x14ac:dyDescent="0.35"/>
    <row r="5150" s="13" customFormat="1" x14ac:dyDescent="0.35"/>
    <row r="5151" s="13" customFormat="1" x14ac:dyDescent="0.35"/>
    <row r="5152" s="13" customFormat="1" x14ac:dyDescent="0.35"/>
    <row r="5153" s="13" customFormat="1" x14ac:dyDescent="0.35"/>
    <row r="5154" s="13" customFormat="1" x14ac:dyDescent="0.35"/>
    <row r="5155" s="13" customFormat="1" x14ac:dyDescent="0.35"/>
    <row r="5156" s="13" customFormat="1" x14ac:dyDescent="0.35"/>
    <row r="5157" s="13" customFormat="1" x14ac:dyDescent="0.35"/>
    <row r="5158" s="13" customFormat="1" x14ac:dyDescent="0.35"/>
    <row r="5159" s="13" customFormat="1" x14ac:dyDescent="0.35"/>
    <row r="5160" s="13" customFormat="1" x14ac:dyDescent="0.35"/>
    <row r="5161" s="13" customFormat="1" x14ac:dyDescent="0.35"/>
    <row r="5162" s="13" customFormat="1" x14ac:dyDescent="0.35"/>
    <row r="5163" s="13" customFormat="1" x14ac:dyDescent="0.35"/>
    <row r="5164" s="13" customFormat="1" x14ac:dyDescent="0.35"/>
    <row r="5165" s="13" customFormat="1" x14ac:dyDescent="0.35"/>
    <row r="5166" s="13" customFormat="1" x14ac:dyDescent="0.35"/>
    <row r="5167" s="13" customFormat="1" x14ac:dyDescent="0.35"/>
    <row r="5168" s="13" customFormat="1" x14ac:dyDescent="0.35"/>
    <row r="5169" s="13" customFormat="1" x14ac:dyDescent="0.35"/>
    <row r="5170" s="13" customFormat="1" x14ac:dyDescent="0.35"/>
    <row r="5171" s="13" customFormat="1" x14ac:dyDescent="0.35"/>
    <row r="5172" s="13" customFormat="1" x14ac:dyDescent="0.35"/>
    <row r="5173" s="13" customFormat="1" x14ac:dyDescent="0.35"/>
    <row r="5174" s="13" customFormat="1" x14ac:dyDescent="0.35"/>
    <row r="5175" s="13" customFormat="1" x14ac:dyDescent="0.35"/>
    <row r="5176" s="13" customFormat="1" x14ac:dyDescent="0.35"/>
    <row r="5177" s="13" customFormat="1" x14ac:dyDescent="0.35"/>
    <row r="5178" s="13" customFormat="1" x14ac:dyDescent="0.35"/>
    <row r="5179" s="13" customFormat="1" x14ac:dyDescent="0.35"/>
    <row r="5180" s="13" customFormat="1" x14ac:dyDescent="0.35"/>
    <row r="5181" s="13" customFormat="1" x14ac:dyDescent="0.35"/>
    <row r="5182" s="13" customFormat="1" x14ac:dyDescent="0.35"/>
    <row r="5183" s="13" customFormat="1" x14ac:dyDescent="0.35"/>
    <row r="5184" s="13" customFormat="1" x14ac:dyDescent="0.35"/>
    <row r="5185" s="13" customFormat="1" x14ac:dyDescent="0.35"/>
    <row r="5186" s="13" customFormat="1" x14ac:dyDescent="0.35"/>
    <row r="5187" s="13" customFormat="1" x14ac:dyDescent="0.35"/>
    <row r="5188" s="13" customFormat="1" x14ac:dyDescent="0.35"/>
    <row r="5189" s="13" customFormat="1" x14ac:dyDescent="0.35"/>
    <row r="5190" s="13" customFormat="1" x14ac:dyDescent="0.35"/>
    <row r="5191" s="13" customFormat="1" x14ac:dyDescent="0.35"/>
    <row r="5192" s="13" customFormat="1" x14ac:dyDescent="0.35"/>
    <row r="5193" s="13" customFormat="1" x14ac:dyDescent="0.35"/>
    <row r="5194" s="13" customFormat="1" x14ac:dyDescent="0.35"/>
    <row r="5195" s="13" customFormat="1" x14ac:dyDescent="0.35"/>
    <row r="5196" s="13" customFormat="1" x14ac:dyDescent="0.35"/>
    <row r="5197" s="13" customFormat="1" x14ac:dyDescent="0.35"/>
    <row r="5198" s="13" customFormat="1" x14ac:dyDescent="0.35"/>
    <row r="5199" s="13" customFormat="1" x14ac:dyDescent="0.35"/>
    <row r="5200" s="13" customFormat="1" x14ac:dyDescent="0.35"/>
    <row r="5201" s="13" customFormat="1" x14ac:dyDescent="0.35"/>
    <row r="5202" s="13" customFormat="1" x14ac:dyDescent="0.35"/>
    <row r="5203" s="13" customFormat="1" x14ac:dyDescent="0.35"/>
    <row r="5204" s="13" customFormat="1" x14ac:dyDescent="0.35"/>
    <row r="5205" s="13" customFormat="1" x14ac:dyDescent="0.35"/>
    <row r="5206" s="13" customFormat="1" x14ac:dyDescent="0.35"/>
    <row r="5207" s="13" customFormat="1" x14ac:dyDescent="0.35"/>
    <row r="5208" s="13" customFormat="1" x14ac:dyDescent="0.35"/>
    <row r="5209" s="13" customFormat="1" x14ac:dyDescent="0.35"/>
    <row r="5210" s="13" customFormat="1" x14ac:dyDescent="0.35"/>
    <row r="5211" s="13" customFormat="1" x14ac:dyDescent="0.35"/>
    <row r="5212" s="13" customFormat="1" x14ac:dyDescent="0.35"/>
    <row r="5213" s="13" customFormat="1" x14ac:dyDescent="0.35"/>
    <row r="5214" s="13" customFormat="1" x14ac:dyDescent="0.35"/>
    <row r="5215" s="13" customFormat="1" x14ac:dyDescent="0.35"/>
    <row r="5216" s="13" customFormat="1" x14ac:dyDescent="0.35"/>
    <row r="5217" s="13" customFormat="1" x14ac:dyDescent="0.35"/>
    <row r="5218" s="13" customFormat="1" x14ac:dyDescent="0.35"/>
    <row r="5219" s="13" customFormat="1" x14ac:dyDescent="0.35"/>
    <row r="5220" s="13" customFormat="1" x14ac:dyDescent="0.35"/>
    <row r="5221" s="13" customFormat="1" x14ac:dyDescent="0.35"/>
    <row r="5222" s="13" customFormat="1" x14ac:dyDescent="0.35"/>
    <row r="5223" s="13" customFormat="1" x14ac:dyDescent="0.35"/>
    <row r="5224" s="13" customFormat="1" x14ac:dyDescent="0.35"/>
    <row r="5225" s="13" customFormat="1" x14ac:dyDescent="0.35"/>
    <row r="5226" s="13" customFormat="1" x14ac:dyDescent="0.35"/>
    <row r="5227" s="13" customFormat="1" x14ac:dyDescent="0.35"/>
    <row r="5228" s="13" customFormat="1" x14ac:dyDescent="0.35"/>
    <row r="5229" s="13" customFormat="1" x14ac:dyDescent="0.35"/>
    <row r="5230" s="13" customFormat="1" x14ac:dyDescent="0.35"/>
    <row r="5231" s="13" customFormat="1" x14ac:dyDescent="0.35"/>
    <row r="5232" s="13" customFormat="1" x14ac:dyDescent="0.35"/>
    <row r="5233" s="13" customFormat="1" x14ac:dyDescent="0.35"/>
    <row r="5234" s="13" customFormat="1" x14ac:dyDescent="0.35"/>
    <row r="5235" s="13" customFormat="1" x14ac:dyDescent="0.35"/>
    <row r="5236" s="13" customFormat="1" x14ac:dyDescent="0.35"/>
    <row r="5237" s="13" customFormat="1" x14ac:dyDescent="0.35"/>
    <row r="5238" s="13" customFormat="1" x14ac:dyDescent="0.35"/>
    <row r="5239" s="13" customFormat="1" x14ac:dyDescent="0.35"/>
    <row r="5240" s="13" customFormat="1" x14ac:dyDescent="0.35"/>
    <row r="5241" s="13" customFormat="1" x14ac:dyDescent="0.35"/>
    <row r="5242" s="13" customFormat="1" x14ac:dyDescent="0.35"/>
    <row r="5243" s="13" customFormat="1" x14ac:dyDescent="0.35"/>
    <row r="5244" s="13" customFormat="1" x14ac:dyDescent="0.35"/>
    <row r="5245" s="13" customFormat="1" x14ac:dyDescent="0.35"/>
    <row r="5246" s="13" customFormat="1" x14ac:dyDescent="0.35"/>
    <row r="5247" s="13" customFormat="1" x14ac:dyDescent="0.35"/>
    <row r="5248" s="13" customFormat="1" x14ac:dyDescent="0.35"/>
    <row r="5249" s="13" customFormat="1" x14ac:dyDescent="0.35"/>
    <row r="5250" s="13" customFormat="1" x14ac:dyDescent="0.35"/>
    <row r="5251" s="13" customFormat="1" x14ac:dyDescent="0.35"/>
    <row r="5252" s="13" customFormat="1" x14ac:dyDescent="0.35"/>
    <row r="5253" s="13" customFormat="1" x14ac:dyDescent="0.35"/>
    <row r="5254" s="13" customFormat="1" x14ac:dyDescent="0.35"/>
    <row r="5255" s="13" customFormat="1" x14ac:dyDescent="0.35"/>
    <row r="5256" s="13" customFormat="1" x14ac:dyDescent="0.35"/>
    <row r="5257" s="13" customFormat="1" x14ac:dyDescent="0.35"/>
    <row r="5258" s="13" customFormat="1" x14ac:dyDescent="0.35"/>
    <row r="5259" s="13" customFormat="1" x14ac:dyDescent="0.35"/>
    <row r="5260" s="13" customFormat="1" x14ac:dyDescent="0.35"/>
    <row r="5261" s="13" customFormat="1" x14ac:dyDescent="0.35"/>
    <row r="5262" s="13" customFormat="1" x14ac:dyDescent="0.35"/>
    <row r="5263" s="13" customFormat="1" x14ac:dyDescent="0.35"/>
    <row r="5264" s="13" customFormat="1" x14ac:dyDescent="0.35"/>
    <row r="5265" s="13" customFormat="1" x14ac:dyDescent="0.35"/>
    <row r="5266" s="13" customFormat="1" x14ac:dyDescent="0.35"/>
    <row r="5267" s="13" customFormat="1" x14ac:dyDescent="0.35"/>
    <row r="5268" s="13" customFormat="1" x14ac:dyDescent="0.35"/>
    <row r="5269" s="13" customFormat="1" x14ac:dyDescent="0.35"/>
    <row r="5270" s="13" customFormat="1" x14ac:dyDescent="0.35"/>
    <row r="5271" s="13" customFormat="1" x14ac:dyDescent="0.35"/>
    <row r="5272" s="13" customFormat="1" x14ac:dyDescent="0.35"/>
    <row r="5273" s="13" customFormat="1" x14ac:dyDescent="0.35"/>
    <row r="5274" s="13" customFormat="1" x14ac:dyDescent="0.35"/>
    <row r="5275" s="13" customFormat="1" x14ac:dyDescent="0.35"/>
    <row r="5276" s="13" customFormat="1" x14ac:dyDescent="0.35"/>
    <row r="5277" s="13" customFormat="1" x14ac:dyDescent="0.35"/>
    <row r="5278" s="13" customFormat="1" x14ac:dyDescent="0.35"/>
    <row r="5279" s="13" customFormat="1" x14ac:dyDescent="0.35"/>
    <row r="5280" s="13" customFormat="1" x14ac:dyDescent="0.35"/>
    <row r="5281" s="13" customFormat="1" x14ac:dyDescent="0.35"/>
    <row r="5282" s="13" customFormat="1" x14ac:dyDescent="0.35"/>
    <row r="5283" s="13" customFormat="1" x14ac:dyDescent="0.35"/>
    <row r="5284" s="13" customFormat="1" x14ac:dyDescent="0.35"/>
    <row r="5285" s="13" customFormat="1" x14ac:dyDescent="0.35"/>
    <row r="5286" s="13" customFormat="1" x14ac:dyDescent="0.35"/>
    <row r="5287" s="13" customFormat="1" x14ac:dyDescent="0.35"/>
    <row r="5288" s="13" customFormat="1" x14ac:dyDescent="0.35"/>
    <row r="5289" s="13" customFormat="1" x14ac:dyDescent="0.35"/>
    <row r="5290" s="13" customFormat="1" x14ac:dyDescent="0.35"/>
    <row r="5291" s="13" customFormat="1" x14ac:dyDescent="0.35"/>
    <row r="5292" s="13" customFormat="1" x14ac:dyDescent="0.35"/>
    <row r="5293" s="13" customFormat="1" x14ac:dyDescent="0.35"/>
    <row r="5294" s="13" customFormat="1" x14ac:dyDescent="0.35"/>
    <row r="5295" s="13" customFormat="1" x14ac:dyDescent="0.35"/>
    <row r="5296" s="13" customFormat="1" x14ac:dyDescent="0.35"/>
    <row r="5297" s="13" customFormat="1" x14ac:dyDescent="0.35"/>
    <row r="5298" s="13" customFormat="1" x14ac:dyDescent="0.35"/>
    <row r="5299" s="13" customFormat="1" x14ac:dyDescent="0.35"/>
    <row r="5300" s="13" customFormat="1" x14ac:dyDescent="0.35"/>
    <row r="5301" s="13" customFormat="1" x14ac:dyDescent="0.35"/>
    <row r="5302" s="13" customFormat="1" x14ac:dyDescent="0.35"/>
    <row r="5303" s="13" customFormat="1" x14ac:dyDescent="0.35"/>
    <row r="5304" s="13" customFormat="1" x14ac:dyDescent="0.35"/>
    <row r="5305" s="13" customFormat="1" x14ac:dyDescent="0.35"/>
    <row r="5306" s="13" customFormat="1" x14ac:dyDescent="0.35"/>
    <row r="5307" s="13" customFormat="1" x14ac:dyDescent="0.35"/>
    <row r="5308" s="13" customFormat="1" x14ac:dyDescent="0.35"/>
    <row r="5309" s="13" customFormat="1" x14ac:dyDescent="0.35"/>
    <row r="5310" s="13" customFormat="1" x14ac:dyDescent="0.35"/>
    <row r="5311" s="13" customFormat="1" x14ac:dyDescent="0.35"/>
    <row r="5312" s="13" customFormat="1" x14ac:dyDescent="0.35"/>
    <row r="5313" s="13" customFormat="1" x14ac:dyDescent="0.35"/>
    <row r="5314" s="13" customFormat="1" x14ac:dyDescent="0.35"/>
    <row r="5315" s="13" customFormat="1" x14ac:dyDescent="0.35"/>
    <row r="5316" s="13" customFormat="1" x14ac:dyDescent="0.35"/>
    <row r="5317" s="13" customFormat="1" x14ac:dyDescent="0.35"/>
    <row r="5318" s="13" customFormat="1" x14ac:dyDescent="0.35"/>
    <row r="5319" s="13" customFormat="1" x14ac:dyDescent="0.35"/>
    <row r="5320" s="13" customFormat="1" x14ac:dyDescent="0.35"/>
    <row r="5321" s="13" customFormat="1" x14ac:dyDescent="0.35"/>
    <row r="5322" s="13" customFormat="1" x14ac:dyDescent="0.35"/>
    <row r="5323" s="13" customFormat="1" x14ac:dyDescent="0.35"/>
    <row r="5324" s="13" customFormat="1" x14ac:dyDescent="0.35"/>
    <row r="5325" s="13" customFormat="1" x14ac:dyDescent="0.35"/>
    <row r="5326" s="13" customFormat="1" x14ac:dyDescent="0.35"/>
    <row r="5327" s="13" customFormat="1" x14ac:dyDescent="0.35"/>
    <row r="5328" s="13" customFormat="1" x14ac:dyDescent="0.35"/>
    <row r="5329" s="13" customFormat="1" x14ac:dyDescent="0.35"/>
    <row r="5330" s="13" customFormat="1" x14ac:dyDescent="0.35"/>
    <row r="5331" s="13" customFormat="1" x14ac:dyDescent="0.35"/>
    <row r="5332" s="13" customFormat="1" x14ac:dyDescent="0.35"/>
    <row r="5333" s="13" customFormat="1" x14ac:dyDescent="0.35"/>
    <row r="5334" s="13" customFormat="1" x14ac:dyDescent="0.35"/>
    <row r="5335" s="13" customFormat="1" x14ac:dyDescent="0.35"/>
    <row r="5336" s="13" customFormat="1" x14ac:dyDescent="0.35"/>
    <row r="5337" s="13" customFormat="1" x14ac:dyDescent="0.35"/>
    <row r="5338" s="13" customFormat="1" x14ac:dyDescent="0.35"/>
    <row r="5339" s="13" customFormat="1" x14ac:dyDescent="0.35"/>
    <row r="5340" s="13" customFormat="1" x14ac:dyDescent="0.35"/>
    <row r="5341" s="13" customFormat="1" x14ac:dyDescent="0.35"/>
    <row r="5342" s="13" customFormat="1" x14ac:dyDescent="0.35"/>
    <row r="5343" s="13" customFormat="1" x14ac:dyDescent="0.35"/>
    <row r="5344" s="13" customFormat="1" x14ac:dyDescent="0.35"/>
    <row r="5345" s="13" customFormat="1" x14ac:dyDescent="0.35"/>
    <row r="5346" s="13" customFormat="1" x14ac:dyDescent="0.35"/>
    <row r="5347" s="13" customFormat="1" x14ac:dyDescent="0.35"/>
    <row r="5348" s="13" customFormat="1" x14ac:dyDescent="0.35"/>
    <row r="5349" s="13" customFormat="1" x14ac:dyDescent="0.35"/>
    <row r="5350" s="13" customFormat="1" x14ac:dyDescent="0.35"/>
    <row r="5351" s="13" customFormat="1" x14ac:dyDescent="0.35"/>
    <row r="5352" s="13" customFormat="1" x14ac:dyDescent="0.35"/>
    <row r="5353" s="13" customFormat="1" x14ac:dyDescent="0.35"/>
    <row r="5354" s="13" customFormat="1" x14ac:dyDescent="0.35"/>
    <row r="5355" s="13" customFormat="1" x14ac:dyDescent="0.35"/>
    <row r="5356" s="13" customFormat="1" x14ac:dyDescent="0.35"/>
    <row r="5357" s="13" customFormat="1" x14ac:dyDescent="0.35"/>
    <row r="5358" s="13" customFormat="1" x14ac:dyDescent="0.35"/>
    <row r="5359" s="13" customFormat="1" x14ac:dyDescent="0.35"/>
    <row r="5360" s="13" customFormat="1" x14ac:dyDescent="0.35"/>
    <row r="5361" s="13" customFormat="1" x14ac:dyDescent="0.35"/>
    <row r="5362" s="13" customFormat="1" x14ac:dyDescent="0.35"/>
    <row r="5363" s="13" customFormat="1" x14ac:dyDescent="0.35"/>
    <row r="5364" s="13" customFormat="1" x14ac:dyDescent="0.35"/>
    <row r="5365" s="13" customFormat="1" x14ac:dyDescent="0.35"/>
    <row r="5366" s="13" customFormat="1" x14ac:dyDescent="0.35"/>
    <row r="5367" s="13" customFormat="1" x14ac:dyDescent="0.35"/>
    <row r="5368" s="13" customFormat="1" x14ac:dyDescent="0.35"/>
    <row r="5369" s="13" customFormat="1" x14ac:dyDescent="0.35"/>
    <row r="5370" s="13" customFormat="1" x14ac:dyDescent="0.35"/>
    <row r="5371" s="13" customFormat="1" x14ac:dyDescent="0.35"/>
    <row r="5372" s="13" customFormat="1" x14ac:dyDescent="0.35"/>
    <row r="5373" s="13" customFormat="1" x14ac:dyDescent="0.35"/>
    <row r="5374" s="13" customFormat="1" x14ac:dyDescent="0.35"/>
    <row r="5375" s="13" customFormat="1" x14ac:dyDescent="0.35"/>
    <row r="5376" s="13" customFormat="1" x14ac:dyDescent="0.35"/>
    <row r="5377" s="13" customFormat="1" x14ac:dyDescent="0.35"/>
    <row r="5378" s="13" customFormat="1" x14ac:dyDescent="0.35"/>
    <row r="5379" s="13" customFormat="1" x14ac:dyDescent="0.35"/>
    <row r="5380" s="13" customFormat="1" x14ac:dyDescent="0.35"/>
    <row r="5381" s="13" customFormat="1" x14ac:dyDescent="0.35"/>
    <row r="5382" s="13" customFormat="1" x14ac:dyDescent="0.35"/>
    <row r="5383" s="13" customFormat="1" x14ac:dyDescent="0.35"/>
    <row r="5384" s="13" customFormat="1" x14ac:dyDescent="0.35"/>
    <row r="5385" s="13" customFormat="1" x14ac:dyDescent="0.35"/>
    <row r="5386" s="13" customFormat="1" x14ac:dyDescent="0.35"/>
    <row r="5387" s="13" customFormat="1" x14ac:dyDescent="0.35"/>
    <row r="5388" s="13" customFormat="1" x14ac:dyDescent="0.35"/>
    <row r="5389" s="13" customFormat="1" x14ac:dyDescent="0.35"/>
    <row r="5390" s="13" customFormat="1" x14ac:dyDescent="0.35"/>
    <row r="5391" s="13" customFormat="1" x14ac:dyDescent="0.35"/>
    <row r="5392" s="13" customFormat="1" x14ac:dyDescent="0.35"/>
    <row r="5393" s="13" customFormat="1" x14ac:dyDescent="0.35"/>
    <row r="5394" s="13" customFormat="1" x14ac:dyDescent="0.35"/>
    <row r="5395" s="13" customFormat="1" x14ac:dyDescent="0.35"/>
    <row r="5396" s="13" customFormat="1" x14ac:dyDescent="0.35"/>
    <row r="5397" s="13" customFormat="1" x14ac:dyDescent="0.35"/>
    <row r="5398" s="13" customFormat="1" x14ac:dyDescent="0.35"/>
    <row r="5399" s="13" customFormat="1" x14ac:dyDescent="0.35"/>
    <row r="5400" s="13" customFormat="1" x14ac:dyDescent="0.35"/>
    <row r="5401" s="13" customFormat="1" x14ac:dyDescent="0.35"/>
    <row r="5402" s="13" customFormat="1" x14ac:dyDescent="0.35"/>
    <row r="5403" s="13" customFormat="1" x14ac:dyDescent="0.35"/>
    <row r="5404" s="13" customFormat="1" x14ac:dyDescent="0.35"/>
    <row r="5405" s="13" customFormat="1" x14ac:dyDescent="0.35"/>
    <row r="5406" s="13" customFormat="1" x14ac:dyDescent="0.35"/>
    <row r="5407" s="13" customFormat="1" x14ac:dyDescent="0.35"/>
    <row r="5408" s="13" customFormat="1" x14ac:dyDescent="0.35"/>
    <row r="5409" s="13" customFormat="1" x14ac:dyDescent="0.35"/>
    <row r="5410" s="13" customFormat="1" x14ac:dyDescent="0.35"/>
    <row r="5411" s="13" customFormat="1" x14ac:dyDescent="0.35"/>
    <row r="5412" s="13" customFormat="1" x14ac:dyDescent="0.35"/>
    <row r="5413" s="13" customFormat="1" x14ac:dyDescent="0.35"/>
    <row r="5414" s="13" customFormat="1" x14ac:dyDescent="0.35"/>
    <row r="5415" s="13" customFormat="1" x14ac:dyDescent="0.35"/>
    <row r="5416" s="13" customFormat="1" x14ac:dyDescent="0.35"/>
    <row r="5417" s="13" customFormat="1" x14ac:dyDescent="0.35"/>
    <row r="5418" s="13" customFormat="1" x14ac:dyDescent="0.35"/>
    <row r="5419" s="13" customFormat="1" x14ac:dyDescent="0.35"/>
    <row r="5420" s="13" customFormat="1" x14ac:dyDescent="0.35"/>
    <row r="5421" s="13" customFormat="1" x14ac:dyDescent="0.35"/>
    <row r="5422" s="13" customFormat="1" x14ac:dyDescent="0.35"/>
    <row r="5423" s="13" customFormat="1" x14ac:dyDescent="0.35"/>
    <row r="5424" s="13" customFormat="1" x14ac:dyDescent="0.35"/>
    <row r="5425" s="13" customFormat="1" x14ac:dyDescent="0.35"/>
    <row r="5426" s="13" customFormat="1" x14ac:dyDescent="0.35"/>
    <row r="5427" s="13" customFormat="1" x14ac:dyDescent="0.35"/>
    <row r="5428" s="13" customFormat="1" x14ac:dyDescent="0.35"/>
    <row r="5429" s="13" customFormat="1" x14ac:dyDescent="0.35"/>
    <row r="5430" s="13" customFormat="1" x14ac:dyDescent="0.35"/>
    <row r="5431" s="13" customFormat="1" x14ac:dyDescent="0.35"/>
    <row r="5432" s="13" customFormat="1" x14ac:dyDescent="0.35"/>
    <row r="5433" s="13" customFormat="1" x14ac:dyDescent="0.35"/>
    <row r="5434" s="13" customFormat="1" x14ac:dyDescent="0.35"/>
    <row r="5435" s="13" customFormat="1" x14ac:dyDescent="0.35"/>
    <row r="5436" s="13" customFormat="1" x14ac:dyDescent="0.35"/>
    <row r="5437" s="13" customFormat="1" x14ac:dyDescent="0.35"/>
    <row r="5438" s="13" customFormat="1" x14ac:dyDescent="0.35"/>
    <row r="5439" s="13" customFormat="1" x14ac:dyDescent="0.35"/>
    <row r="5440" s="13" customFormat="1" x14ac:dyDescent="0.35"/>
    <row r="5441" s="13" customFormat="1" x14ac:dyDescent="0.35"/>
    <row r="5442" s="13" customFormat="1" x14ac:dyDescent="0.35"/>
    <row r="5443" s="13" customFormat="1" x14ac:dyDescent="0.35"/>
    <row r="5444" s="13" customFormat="1" x14ac:dyDescent="0.35"/>
    <row r="5445" s="13" customFormat="1" x14ac:dyDescent="0.35"/>
    <row r="5446" s="13" customFormat="1" x14ac:dyDescent="0.35"/>
    <row r="5447" s="13" customFormat="1" x14ac:dyDescent="0.35"/>
    <row r="5448" s="13" customFormat="1" x14ac:dyDescent="0.35"/>
    <row r="5449" s="13" customFormat="1" x14ac:dyDescent="0.35"/>
    <row r="5450" s="13" customFormat="1" x14ac:dyDescent="0.35"/>
    <row r="5451" s="13" customFormat="1" x14ac:dyDescent="0.35"/>
    <row r="5452" s="13" customFormat="1" x14ac:dyDescent="0.35"/>
    <row r="5453" s="13" customFormat="1" x14ac:dyDescent="0.35"/>
    <row r="5454" s="13" customFormat="1" x14ac:dyDescent="0.35"/>
    <row r="5455" s="13" customFormat="1" x14ac:dyDescent="0.35"/>
    <row r="5456" s="13" customFormat="1" x14ac:dyDescent="0.35"/>
    <row r="5457" s="13" customFormat="1" x14ac:dyDescent="0.35"/>
    <row r="5458" s="13" customFormat="1" x14ac:dyDescent="0.35"/>
    <row r="5459" s="13" customFormat="1" x14ac:dyDescent="0.35"/>
    <row r="5460" s="13" customFormat="1" x14ac:dyDescent="0.35"/>
    <row r="5461" s="13" customFormat="1" x14ac:dyDescent="0.35"/>
    <row r="5462" s="13" customFormat="1" x14ac:dyDescent="0.35"/>
    <row r="5463" s="13" customFormat="1" x14ac:dyDescent="0.35"/>
    <row r="5464" s="13" customFormat="1" x14ac:dyDescent="0.35"/>
    <row r="5465" s="13" customFormat="1" x14ac:dyDescent="0.35"/>
    <row r="5466" s="13" customFormat="1" x14ac:dyDescent="0.35"/>
    <row r="5467" s="13" customFormat="1" x14ac:dyDescent="0.35"/>
    <row r="5468" s="13" customFormat="1" x14ac:dyDescent="0.35"/>
    <row r="5469" s="13" customFormat="1" x14ac:dyDescent="0.35"/>
    <row r="5470" s="13" customFormat="1" x14ac:dyDescent="0.35"/>
    <row r="5471" s="13" customFormat="1" x14ac:dyDescent="0.35"/>
    <row r="5472" s="13" customFormat="1" x14ac:dyDescent="0.35"/>
    <row r="5473" s="13" customFormat="1" x14ac:dyDescent="0.35"/>
    <row r="5474" s="13" customFormat="1" x14ac:dyDescent="0.35"/>
    <row r="5475" s="13" customFormat="1" x14ac:dyDescent="0.35"/>
    <row r="5476" s="13" customFormat="1" x14ac:dyDescent="0.35"/>
    <row r="5477" s="13" customFormat="1" x14ac:dyDescent="0.35"/>
    <row r="5478" s="13" customFormat="1" x14ac:dyDescent="0.35"/>
    <row r="5479" s="13" customFormat="1" x14ac:dyDescent="0.35"/>
    <row r="5480" s="13" customFormat="1" x14ac:dyDescent="0.35"/>
    <row r="5481" s="13" customFormat="1" x14ac:dyDescent="0.35"/>
    <row r="5482" s="13" customFormat="1" x14ac:dyDescent="0.35"/>
    <row r="5483" s="13" customFormat="1" x14ac:dyDescent="0.35"/>
    <row r="5484" s="13" customFormat="1" x14ac:dyDescent="0.35"/>
    <row r="5485" s="13" customFormat="1" x14ac:dyDescent="0.35"/>
    <row r="5486" s="13" customFormat="1" x14ac:dyDescent="0.35"/>
    <row r="5487" s="13" customFormat="1" x14ac:dyDescent="0.35"/>
    <row r="5488" s="13" customFormat="1" x14ac:dyDescent="0.35"/>
    <row r="5489" s="13" customFormat="1" x14ac:dyDescent="0.35"/>
    <row r="5490" s="13" customFormat="1" x14ac:dyDescent="0.35"/>
    <row r="5491" s="13" customFormat="1" x14ac:dyDescent="0.35"/>
    <row r="5492" s="13" customFormat="1" x14ac:dyDescent="0.35"/>
    <row r="5493" s="13" customFormat="1" x14ac:dyDescent="0.35"/>
    <row r="5494" s="13" customFormat="1" x14ac:dyDescent="0.35"/>
    <row r="5495" s="13" customFormat="1" x14ac:dyDescent="0.35"/>
    <row r="5496" s="13" customFormat="1" x14ac:dyDescent="0.35"/>
    <row r="5497" s="13" customFormat="1" x14ac:dyDescent="0.35"/>
    <row r="5498" s="13" customFormat="1" x14ac:dyDescent="0.35"/>
    <row r="5499" s="13" customFormat="1" x14ac:dyDescent="0.35"/>
    <row r="5500" s="13" customFormat="1" x14ac:dyDescent="0.35"/>
    <row r="5501" s="13" customFormat="1" x14ac:dyDescent="0.35"/>
    <row r="5502" s="13" customFormat="1" x14ac:dyDescent="0.35"/>
    <row r="5503" s="13" customFormat="1" x14ac:dyDescent="0.35"/>
    <row r="5504" s="13" customFormat="1" x14ac:dyDescent="0.35"/>
    <row r="5505" s="13" customFormat="1" x14ac:dyDescent="0.35"/>
    <row r="5506" s="13" customFormat="1" x14ac:dyDescent="0.35"/>
    <row r="5507" s="13" customFormat="1" x14ac:dyDescent="0.35"/>
    <row r="5508" s="13" customFormat="1" x14ac:dyDescent="0.35"/>
    <row r="5509" s="13" customFormat="1" x14ac:dyDescent="0.35"/>
    <row r="5510" s="13" customFormat="1" x14ac:dyDescent="0.35"/>
    <row r="5511" s="13" customFormat="1" x14ac:dyDescent="0.35"/>
    <row r="5512" s="13" customFormat="1" x14ac:dyDescent="0.35"/>
    <row r="5513" s="13" customFormat="1" x14ac:dyDescent="0.35"/>
    <row r="5514" s="13" customFormat="1" x14ac:dyDescent="0.35"/>
    <row r="5515" s="13" customFormat="1" x14ac:dyDescent="0.35"/>
    <row r="5516" s="13" customFormat="1" x14ac:dyDescent="0.35"/>
    <row r="5517" s="13" customFormat="1" x14ac:dyDescent="0.35"/>
    <row r="5518" s="13" customFormat="1" x14ac:dyDescent="0.35"/>
    <row r="5519" s="13" customFormat="1" x14ac:dyDescent="0.35"/>
    <row r="5520" s="13" customFormat="1" x14ac:dyDescent="0.35"/>
    <row r="5521" s="13" customFormat="1" x14ac:dyDescent="0.35"/>
    <row r="5522" s="13" customFormat="1" x14ac:dyDescent="0.35"/>
    <row r="5523" s="13" customFormat="1" x14ac:dyDescent="0.35"/>
    <row r="5524" s="13" customFormat="1" x14ac:dyDescent="0.35"/>
    <row r="5525" s="13" customFormat="1" x14ac:dyDescent="0.35"/>
    <row r="5526" s="13" customFormat="1" x14ac:dyDescent="0.35"/>
    <row r="5527" s="13" customFormat="1" x14ac:dyDescent="0.35"/>
    <row r="5528" s="13" customFormat="1" x14ac:dyDescent="0.35"/>
    <row r="5529" s="13" customFormat="1" x14ac:dyDescent="0.35"/>
    <row r="5530" s="13" customFormat="1" x14ac:dyDescent="0.35"/>
    <row r="5531" s="13" customFormat="1" x14ac:dyDescent="0.35"/>
    <row r="5532" s="13" customFormat="1" x14ac:dyDescent="0.35"/>
    <row r="5533" s="13" customFormat="1" x14ac:dyDescent="0.35"/>
    <row r="5534" s="13" customFormat="1" x14ac:dyDescent="0.35"/>
    <row r="5535" s="13" customFormat="1" x14ac:dyDescent="0.35"/>
    <row r="5536" s="13" customFormat="1" x14ac:dyDescent="0.35"/>
    <row r="5537" s="13" customFormat="1" x14ac:dyDescent="0.35"/>
    <row r="5538" s="13" customFormat="1" x14ac:dyDescent="0.35"/>
    <row r="5539" s="13" customFormat="1" x14ac:dyDescent="0.35"/>
    <row r="5540" s="13" customFormat="1" x14ac:dyDescent="0.35"/>
    <row r="5541" s="13" customFormat="1" x14ac:dyDescent="0.35"/>
    <row r="5542" s="13" customFormat="1" x14ac:dyDescent="0.35"/>
    <row r="5543" s="13" customFormat="1" x14ac:dyDescent="0.35"/>
    <row r="5544" s="13" customFormat="1" x14ac:dyDescent="0.35"/>
    <row r="5545" s="13" customFormat="1" x14ac:dyDescent="0.35"/>
    <row r="5546" s="13" customFormat="1" x14ac:dyDescent="0.35"/>
    <row r="5547" s="13" customFormat="1" x14ac:dyDescent="0.35"/>
    <row r="5548" s="13" customFormat="1" x14ac:dyDescent="0.35"/>
    <row r="5549" s="13" customFormat="1" x14ac:dyDescent="0.35"/>
    <row r="5550" s="13" customFormat="1" x14ac:dyDescent="0.35"/>
    <row r="5551" s="13" customFormat="1" x14ac:dyDescent="0.35"/>
    <row r="5552" s="13" customFormat="1" x14ac:dyDescent="0.35"/>
    <row r="5553" s="13" customFormat="1" x14ac:dyDescent="0.35"/>
    <row r="5554" s="13" customFormat="1" x14ac:dyDescent="0.35"/>
    <row r="5555" s="13" customFormat="1" x14ac:dyDescent="0.35"/>
    <row r="5556" s="13" customFormat="1" x14ac:dyDescent="0.35"/>
    <row r="5557" s="13" customFormat="1" x14ac:dyDescent="0.35"/>
    <row r="5558" s="13" customFormat="1" x14ac:dyDescent="0.35"/>
    <row r="5559" s="13" customFormat="1" x14ac:dyDescent="0.35"/>
    <row r="5560" s="13" customFormat="1" x14ac:dyDescent="0.35"/>
    <row r="5561" s="13" customFormat="1" x14ac:dyDescent="0.35"/>
    <row r="5562" s="13" customFormat="1" x14ac:dyDescent="0.35"/>
    <row r="5563" s="13" customFormat="1" x14ac:dyDescent="0.35"/>
    <row r="5564" s="13" customFormat="1" x14ac:dyDescent="0.35"/>
    <row r="5565" s="13" customFormat="1" x14ac:dyDescent="0.35"/>
    <row r="5566" s="13" customFormat="1" x14ac:dyDescent="0.35"/>
    <row r="5567" s="13" customFormat="1" x14ac:dyDescent="0.35"/>
    <row r="5568" s="13" customFormat="1" x14ac:dyDescent="0.35"/>
    <row r="5569" s="13" customFormat="1" x14ac:dyDescent="0.35"/>
    <row r="5570" s="13" customFormat="1" x14ac:dyDescent="0.35"/>
    <row r="5571" s="13" customFormat="1" x14ac:dyDescent="0.35"/>
    <row r="5572" s="13" customFormat="1" x14ac:dyDescent="0.35"/>
    <row r="5573" s="13" customFormat="1" x14ac:dyDescent="0.35"/>
    <row r="5574" s="13" customFormat="1" x14ac:dyDescent="0.35"/>
    <row r="5575" s="13" customFormat="1" x14ac:dyDescent="0.35"/>
    <row r="5576" s="13" customFormat="1" x14ac:dyDescent="0.35"/>
    <row r="5577" s="13" customFormat="1" x14ac:dyDescent="0.35"/>
    <row r="5578" s="13" customFormat="1" x14ac:dyDescent="0.35"/>
    <row r="5579" s="13" customFormat="1" x14ac:dyDescent="0.35"/>
    <row r="5580" s="13" customFormat="1" x14ac:dyDescent="0.35"/>
    <row r="5581" s="13" customFormat="1" x14ac:dyDescent="0.35"/>
    <row r="5582" s="13" customFormat="1" x14ac:dyDescent="0.35"/>
    <row r="5583" s="13" customFormat="1" x14ac:dyDescent="0.35"/>
    <row r="5584" s="13" customFormat="1" x14ac:dyDescent="0.35"/>
    <row r="5585" s="13" customFormat="1" x14ac:dyDescent="0.35"/>
    <row r="5586" s="13" customFormat="1" x14ac:dyDescent="0.35"/>
    <row r="5587" s="13" customFormat="1" x14ac:dyDescent="0.35"/>
    <row r="5588" s="13" customFormat="1" x14ac:dyDescent="0.35"/>
    <row r="5589" s="13" customFormat="1" x14ac:dyDescent="0.35"/>
    <row r="5590" s="13" customFormat="1" x14ac:dyDescent="0.35"/>
    <row r="5591" s="13" customFormat="1" x14ac:dyDescent="0.35"/>
    <row r="5592" s="13" customFormat="1" x14ac:dyDescent="0.35"/>
    <row r="5593" s="13" customFormat="1" x14ac:dyDescent="0.35"/>
    <row r="5594" s="13" customFormat="1" x14ac:dyDescent="0.35"/>
    <row r="5595" s="13" customFormat="1" x14ac:dyDescent="0.35"/>
    <row r="5596" s="13" customFormat="1" x14ac:dyDescent="0.35"/>
    <row r="5597" s="13" customFormat="1" x14ac:dyDescent="0.35"/>
    <row r="5598" s="13" customFormat="1" x14ac:dyDescent="0.35"/>
    <row r="5599" s="13" customFormat="1" x14ac:dyDescent="0.35"/>
    <row r="5600" s="13" customFormat="1" x14ac:dyDescent="0.35"/>
    <row r="5601" s="13" customFormat="1" x14ac:dyDescent="0.35"/>
    <row r="5602" s="13" customFormat="1" x14ac:dyDescent="0.35"/>
    <row r="5603" s="13" customFormat="1" x14ac:dyDescent="0.35"/>
    <row r="5604" s="13" customFormat="1" x14ac:dyDescent="0.35"/>
    <row r="5605" s="13" customFormat="1" x14ac:dyDescent="0.35"/>
    <row r="5606" s="13" customFormat="1" x14ac:dyDescent="0.35"/>
    <row r="5607" s="13" customFormat="1" x14ac:dyDescent="0.35"/>
    <row r="5608" s="13" customFormat="1" x14ac:dyDescent="0.35"/>
    <row r="5609" s="13" customFormat="1" x14ac:dyDescent="0.35"/>
    <row r="5610" s="13" customFormat="1" x14ac:dyDescent="0.35"/>
    <row r="5611" s="13" customFormat="1" x14ac:dyDescent="0.35"/>
    <row r="5612" s="13" customFormat="1" x14ac:dyDescent="0.35"/>
    <row r="5613" s="13" customFormat="1" x14ac:dyDescent="0.35"/>
    <row r="5614" s="13" customFormat="1" x14ac:dyDescent="0.35"/>
    <row r="5615" s="13" customFormat="1" x14ac:dyDescent="0.35"/>
    <row r="5616" s="13" customFormat="1" x14ac:dyDescent="0.35"/>
    <row r="5617" s="13" customFormat="1" x14ac:dyDescent="0.35"/>
    <row r="5618" s="13" customFormat="1" x14ac:dyDescent="0.35"/>
    <row r="5619" s="13" customFormat="1" x14ac:dyDescent="0.35"/>
    <row r="5620" s="13" customFormat="1" x14ac:dyDescent="0.35"/>
    <row r="5621" s="13" customFormat="1" x14ac:dyDescent="0.35"/>
    <row r="5622" s="13" customFormat="1" x14ac:dyDescent="0.35"/>
    <row r="5623" s="13" customFormat="1" x14ac:dyDescent="0.35"/>
    <row r="5624" s="13" customFormat="1" x14ac:dyDescent="0.35"/>
    <row r="5625" s="13" customFormat="1" x14ac:dyDescent="0.35"/>
    <row r="5626" s="13" customFormat="1" x14ac:dyDescent="0.35"/>
    <row r="5627" s="13" customFormat="1" x14ac:dyDescent="0.35"/>
    <row r="5628" s="13" customFormat="1" x14ac:dyDescent="0.35"/>
    <row r="5629" s="13" customFormat="1" x14ac:dyDescent="0.35"/>
    <row r="5630" s="13" customFormat="1" x14ac:dyDescent="0.35"/>
    <row r="5631" s="13" customFormat="1" x14ac:dyDescent="0.35"/>
    <row r="5632" s="13" customFormat="1" x14ac:dyDescent="0.35"/>
    <row r="5633" s="13" customFormat="1" x14ac:dyDescent="0.35"/>
    <row r="5634" s="13" customFormat="1" x14ac:dyDescent="0.35"/>
    <row r="5635" s="13" customFormat="1" x14ac:dyDescent="0.35"/>
    <row r="5636" s="13" customFormat="1" x14ac:dyDescent="0.35"/>
    <row r="5637" s="13" customFormat="1" x14ac:dyDescent="0.35"/>
    <row r="5638" s="13" customFormat="1" x14ac:dyDescent="0.35"/>
    <row r="5639" s="13" customFormat="1" x14ac:dyDescent="0.35"/>
    <row r="5640" s="13" customFormat="1" x14ac:dyDescent="0.35"/>
    <row r="5641" s="13" customFormat="1" x14ac:dyDescent="0.35"/>
    <row r="5642" s="13" customFormat="1" x14ac:dyDescent="0.35"/>
    <row r="5643" s="13" customFormat="1" x14ac:dyDescent="0.35"/>
    <row r="5644" s="13" customFormat="1" x14ac:dyDescent="0.35"/>
    <row r="5645" s="13" customFormat="1" x14ac:dyDescent="0.35"/>
    <row r="5646" s="13" customFormat="1" x14ac:dyDescent="0.35"/>
    <row r="5647" s="13" customFormat="1" x14ac:dyDescent="0.35"/>
    <row r="5648" s="13" customFormat="1" x14ac:dyDescent="0.35"/>
    <row r="5649" s="13" customFormat="1" x14ac:dyDescent="0.35"/>
    <row r="5650" s="13" customFormat="1" x14ac:dyDescent="0.35"/>
    <row r="5651" s="13" customFormat="1" x14ac:dyDescent="0.35"/>
    <row r="5652" s="13" customFormat="1" x14ac:dyDescent="0.35"/>
    <row r="5653" s="13" customFormat="1" x14ac:dyDescent="0.35"/>
    <row r="5654" s="13" customFormat="1" x14ac:dyDescent="0.35"/>
    <row r="5655" s="13" customFormat="1" x14ac:dyDescent="0.35"/>
    <row r="5656" s="13" customFormat="1" x14ac:dyDescent="0.35"/>
    <row r="5657" s="13" customFormat="1" x14ac:dyDescent="0.35"/>
    <row r="5658" s="13" customFormat="1" x14ac:dyDescent="0.35"/>
    <row r="5659" s="13" customFormat="1" x14ac:dyDescent="0.35"/>
    <row r="5660" s="13" customFormat="1" x14ac:dyDescent="0.35"/>
    <row r="5661" s="13" customFormat="1" x14ac:dyDescent="0.35"/>
    <row r="5662" s="13" customFormat="1" x14ac:dyDescent="0.35"/>
    <row r="5663" s="13" customFormat="1" x14ac:dyDescent="0.35"/>
    <row r="5664" s="13" customFormat="1" x14ac:dyDescent="0.35"/>
    <row r="5665" s="13" customFormat="1" x14ac:dyDescent="0.35"/>
    <row r="5666" s="13" customFormat="1" x14ac:dyDescent="0.35"/>
    <row r="5667" s="13" customFormat="1" x14ac:dyDescent="0.35"/>
    <row r="5668" s="13" customFormat="1" x14ac:dyDescent="0.35"/>
    <row r="5669" s="13" customFormat="1" x14ac:dyDescent="0.35"/>
    <row r="5670" s="13" customFormat="1" x14ac:dyDescent="0.35"/>
    <row r="5671" s="13" customFormat="1" x14ac:dyDescent="0.35"/>
    <row r="5672" s="13" customFormat="1" x14ac:dyDescent="0.35"/>
    <row r="5673" s="13" customFormat="1" x14ac:dyDescent="0.35"/>
    <row r="5674" s="13" customFormat="1" x14ac:dyDescent="0.35"/>
    <row r="5675" s="13" customFormat="1" x14ac:dyDescent="0.35"/>
    <row r="5676" s="13" customFormat="1" x14ac:dyDescent="0.35"/>
    <row r="5677" s="13" customFormat="1" x14ac:dyDescent="0.35"/>
    <row r="5678" s="13" customFormat="1" x14ac:dyDescent="0.35"/>
    <row r="5679" s="13" customFormat="1" x14ac:dyDescent="0.35"/>
    <row r="5680" s="13" customFormat="1" x14ac:dyDescent="0.35"/>
    <row r="5681" s="13" customFormat="1" x14ac:dyDescent="0.35"/>
    <row r="5682" s="13" customFormat="1" x14ac:dyDescent="0.35"/>
    <row r="5683" s="13" customFormat="1" x14ac:dyDescent="0.35"/>
    <row r="5684" s="13" customFormat="1" x14ac:dyDescent="0.35"/>
    <row r="5685" s="13" customFormat="1" x14ac:dyDescent="0.35"/>
    <row r="5686" s="13" customFormat="1" x14ac:dyDescent="0.35"/>
    <row r="5687" s="13" customFormat="1" x14ac:dyDescent="0.35"/>
    <row r="5688" s="13" customFormat="1" x14ac:dyDescent="0.35"/>
    <row r="5689" s="13" customFormat="1" x14ac:dyDescent="0.35"/>
    <row r="5690" s="13" customFormat="1" x14ac:dyDescent="0.35"/>
    <row r="5691" s="13" customFormat="1" x14ac:dyDescent="0.35"/>
    <row r="5692" s="13" customFormat="1" x14ac:dyDescent="0.35"/>
    <row r="5693" s="13" customFormat="1" x14ac:dyDescent="0.35"/>
    <row r="5694" s="13" customFormat="1" x14ac:dyDescent="0.35"/>
    <row r="5695" s="13" customFormat="1" x14ac:dyDescent="0.35"/>
    <row r="5696" s="13" customFormat="1" x14ac:dyDescent="0.35"/>
    <row r="5697" s="13" customFormat="1" x14ac:dyDescent="0.35"/>
    <row r="5698" s="13" customFormat="1" x14ac:dyDescent="0.35"/>
    <row r="5699" s="13" customFormat="1" x14ac:dyDescent="0.35"/>
    <row r="5700" s="13" customFormat="1" x14ac:dyDescent="0.35"/>
    <row r="5701" s="13" customFormat="1" x14ac:dyDescent="0.35"/>
    <row r="5702" s="13" customFormat="1" x14ac:dyDescent="0.35"/>
    <row r="5703" s="13" customFormat="1" x14ac:dyDescent="0.35"/>
    <row r="5704" s="13" customFormat="1" x14ac:dyDescent="0.35"/>
    <row r="5705" s="13" customFormat="1" x14ac:dyDescent="0.35"/>
    <row r="5706" s="13" customFormat="1" x14ac:dyDescent="0.35"/>
    <row r="5707" s="13" customFormat="1" x14ac:dyDescent="0.35"/>
    <row r="5708" s="13" customFormat="1" x14ac:dyDescent="0.35"/>
    <row r="5709" s="13" customFormat="1" x14ac:dyDescent="0.35"/>
    <row r="5710" s="13" customFormat="1" x14ac:dyDescent="0.35"/>
    <row r="5711" s="13" customFormat="1" x14ac:dyDescent="0.35"/>
    <row r="5712" s="13" customFormat="1" x14ac:dyDescent="0.35"/>
    <row r="5713" s="13" customFormat="1" x14ac:dyDescent="0.35"/>
    <row r="5714" s="13" customFormat="1" x14ac:dyDescent="0.35"/>
    <row r="5715" s="13" customFormat="1" x14ac:dyDescent="0.35"/>
    <row r="5716" s="13" customFormat="1" x14ac:dyDescent="0.35"/>
    <row r="5717" s="13" customFormat="1" x14ac:dyDescent="0.35"/>
    <row r="5718" s="13" customFormat="1" x14ac:dyDescent="0.35"/>
    <row r="5719" s="13" customFormat="1" x14ac:dyDescent="0.35"/>
    <row r="5720" s="13" customFormat="1" x14ac:dyDescent="0.35"/>
    <row r="5721" s="13" customFormat="1" x14ac:dyDescent="0.35"/>
    <row r="5722" s="13" customFormat="1" x14ac:dyDescent="0.35"/>
    <row r="5723" s="13" customFormat="1" x14ac:dyDescent="0.35"/>
    <row r="5724" s="13" customFormat="1" x14ac:dyDescent="0.35"/>
    <row r="5725" s="13" customFormat="1" x14ac:dyDescent="0.35"/>
    <row r="5726" s="13" customFormat="1" x14ac:dyDescent="0.35"/>
    <row r="5727" s="13" customFormat="1" x14ac:dyDescent="0.35"/>
    <row r="5728" s="13" customFormat="1" x14ac:dyDescent="0.35"/>
    <row r="5729" s="13" customFormat="1" x14ac:dyDescent="0.35"/>
    <row r="5730" s="13" customFormat="1" x14ac:dyDescent="0.35"/>
    <row r="5731" s="13" customFormat="1" x14ac:dyDescent="0.35"/>
    <row r="5732" s="13" customFormat="1" x14ac:dyDescent="0.35"/>
    <row r="5733" s="13" customFormat="1" x14ac:dyDescent="0.35"/>
    <row r="5734" s="13" customFormat="1" x14ac:dyDescent="0.35"/>
    <row r="5735" s="13" customFormat="1" x14ac:dyDescent="0.35"/>
    <row r="5736" s="13" customFormat="1" x14ac:dyDescent="0.35"/>
    <row r="5737" s="13" customFormat="1" x14ac:dyDescent="0.35"/>
    <row r="5738" s="13" customFormat="1" x14ac:dyDescent="0.35"/>
    <row r="5739" s="13" customFormat="1" x14ac:dyDescent="0.35"/>
    <row r="5740" s="13" customFormat="1" x14ac:dyDescent="0.35"/>
    <row r="5741" s="13" customFormat="1" x14ac:dyDescent="0.35"/>
    <row r="5742" s="13" customFormat="1" x14ac:dyDescent="0.35"/>
    <row r="5743" s="13" customFormat="1" x14ac:dyDescent="0.35"/>
    <row r="5744" s="13" customFormat="1" x14ac:dyDescent="0.35"/>
    <row r="5745" s="13" customFormat="1" x14ac:dyDescent="0.35"/>
    <row r="5746" s="13" customFormat="1" x14ac:dyDescent="0.35"/>
    <row r="5747" s="13" customFormat="1" x14ac:dyDescent="0.35"/>
    <row r="5748" s="13" customFormat="1" x14ac:dyDescent="0.35"/>
    <row r="5749" s="13" customFormat="1" x14ac:dyDescent="0.35"/>
    <row r="5750" s="13" customFormat="1" x14ac:dyDescent="0.35"/>
    <row r="5751" s="13" customFormat="1" x14ac:dyDescent="0.35"/>
    <row r="5752" s="13" customFormat="1" x14ac:dyDescent="0.35"/>
    <row r="5753" s="13" customFormat="1" x14ac:dyDescent="0.35"/>
    <row r="5754" s="13" customFormat="1" x14ac:dyDescent="0.35"/>
    <row r="5755" s="13" customFormat="1" x14ac:dyDescent="0.35"/>
    <row r="5756" s="13" customFormat="1" x14ac:dyDescent="0.35"/>
    <row r="5757" s="13" customFormat="1" x14ac:dyDescent="0.35"/>
    <row r="5758" s="13" customFormat="1" x14ac:dyDescent="0.35"/>
    <row r="5759" s="13" customFormat="1" x14ac:dyDescent="0.35"/>
    <row r="5760" s="13" customFormat="1" x14ac:dyDescent="0.35"/>
    <row r="5761" s="13" customFormat="1" x14ac:dyDescent="0.35"/>
    <row r="5762" s="13" customFormat="1" x14ac:dyDescent="0.35"/>
    <row r="5763" s="13" customFormat="1" x14ac:dyDescent="0.35"/>
    <row r="5764" s="13" customFormat="1" x14ac:dyDescent="0.35"/>
    <row r="5765" s="13" customFormat="1" x14ac:dyDescent="0.35"/>
    <row r="5766" s="13" customFormat="1" x14ac:dyDescent="0.35"/>
    <row r="5767" s="13" customFormat="1" x14ac:dyDescent="0.35"/>
    <row r="5768" s="13" customFormat="1" x14ac:dyDescent="0.35"/>
    <row r="5769" s="13" customFormat="1" x14ac:dyDescent="0.35"/>
    <row r="5770" s="13" customFormat="1" x14ac:dyDescent="0.35"/>
    <row r="5771" s="13" customFormat="1" x14ac:dyDescent="0.35"/>
    <row r="5772" s="13" customFormat="1" x14ac:dyDescent="0.35"/>
    <row r="5773" s="13" customFormat="1" x14ac:dyDescent="0.35"/>
    <row r="5774" s="13" customFormat="1" x14ac:dyDescent="0.35"/>
    <row r="5775" s="13" customFormat="1" x14ac:dyDescent="0.35"/>
    <row r="5776" s="13" customFormat="1" x14ac:dyDescent="0.35"/>
    <row r="5777" s="13" customFormat="1" x14ac:dyDescent="0.35"/>
    <row r="5778" s="13" customFormat="1" x14ac:dyDescent="0.35"/>
    <row r="5779" s="13" customFormat="1" x14ac:dyDescent="0.35"/>
    <row r="5780" s="13" customFormat="1" x14ac:dyDescent="0.35"/>
    <row r="5781" s="13" customFormat="1" x14ac:dyDescent="0.35"/>
    <row r="5782" s="13" customFormat="1" x14ac:dyDescent="0.35"/>
    <row r="5783" s="13" customFormat="1" x14ac:dyDescent="0.35"/>
    <row r="5784" s="13" customFormat="1" x14ac:dyDescent="0.35"/>
    <row r="5785" s="13" customFormat="1" x14ac:dyDescent="0.35"/>
    <row r="5786" s="13" customFormat="1" x14ac:dyDescent="0.35"/>
    <row r="5787" s="13" customFormat="1" x14ac:dyDescent="0.35"/>
    <row r="5788" s="13" customFormat="1" x14ac:dyDescent="0.35"/>
    <row r="5789" s="13" customFormat="1" x14ac:dyDescent="0.35"/>
    <row r="5790" s="13" customFormat="1" x14ac:dyDescent="0.35"/>
    <row r="5791" s="13" customFormat="1" x14ac:dyDescent="0.35"/>
    <row r="5792" s="13" customFormat="1" x14ac:dyDescent="0.35"/>
    <row r="5793" s="13" customFormat="1" x14ac:dyDescent="0.35"/>
    <row r="5794" s="13" customFormat="1" x14ac:dyDescent="0.35"/>
    <row r="5795" s="13" customFormat="1" x14ac:dyDescent="0.35"/>
    <row r="5796" s="13" customFormat="1" x14ac:dyDescent="0.35"/>
    <row r="5797" s="13" customFormat="1" x14ac:dyDescent="0.35"/>
    <row r="5798" s="13" customFormat="1" x14ac:dyDescent="0.35"/>
    <row r="5799" s="13" customFormat="1" x14ac:dyDescent="0.35"/>
    <row r="5800" s="13" customFormat="1" x14ac:dyDescent="0.35"/>
    <row r="5801" s="13" customFormat="1" x14ac:dyDescent="0.35"/>
    <row r="5802" s="13" customFormat="1" x14ac:dyDescent="0.35"/>
    <row r="5803" s="13" customFormat="1" x14ac:dyDescent="0.35"/>
    <row r="5804" s="13" customFormat="1" x14ac:dyDescent="0.35"/>
    <row r="5805" s="13" customFormat="1" x14ac:dyDescent="0.35"/>
    <row r="5806" s="13" customFormat="1" x14ac:dyDescent="0.35"/>
    <row r="5807" s="13" customFormat="1" x14ac:dyDescent="0.35"/>
    <row r="5808" s="13" customFormat="1" x14ac:dyDescent="0.35"/>
    <row r="5809" s="13" customFormat="1" x14ac:dyDescent="0.35"/>
    <row r="5810" s="13" customFormat="1" x14ac:dyDescent="0.35"/>
    <row r="5811" s="13" customFormat="1" x14ac:dyDescent="0.35"/>
    <row r="5812" s="13" customFormat="1" x14ac:dyDescent="0.35"/>
    <row r="5813" s="13" customFormat="1" x14ac:dyDescent="0.35"/>
    <row r="5814" s="13" customFormat="1" x14ac:dyDescent="0.35"/>
    <row r="5815" s="13" customFormat="1" x14ac:dyDescent="0.35"/>
    <row r="5816" s="13" customFormat="1" x14ac:dyDescent="0.35"/>
    <row r="5817" s="13" customFormat="1" x14ac:dyDescent="0.35"/>
    <row r="5818" s="13" customFormat="1" x14ac:dyDescent="0.35"/>
    <row r="5819" s="13" customFormat="1" x14ac:dyDescent="0.35"/>
    <row r="5820" s="13" customFormat="1" x14ac:dyDescent="0.35"/>
    <row r="5821" s="13" customFormat="1" x14ac:dyDescent="0.35"/>
    <row r="5822" s="13" customFormat="1" x14ac:dyDescent="0.35"/>
    <row r="5823" s="13" customFormat="1" x14ac:dyDescent="0.35"/>
    <row r="5824" s="13" customFormat="1" x14ac:dyDescent="0.35"/>
    <row r="5825" s="13" customFormat="1" x14ac:dyDescent="0.35"/>
    <row r="5826" s="13" customFormat="1" x14ac:dyDescent="0.35"/>
    <row r="5827" s="13" customFormat="1" x14ac:dyDescent="0.35"/>
    <row r="5828" s="13" customFormat="1" x14ac:dyDescent="0.35"/>
    <row r="5829" s="13" customFormat="1" x14ac:dyDescent="0.35"/>
    <row r="5830" s="13" customFormat="1" x14ac:dyDescent="0.35"/>
    <row r="5831" s="13" customFormat="1" x14ac:dyDescent="0.35"/>
    <row r="5832" s="13" customFormat="1" x14ac:dyDescent="0.35"/>
    <row r="5833" s="13" customFormat="1" x14ac:dyDescent="0.35"/>
    <row r="5834" s="13" customFormat="1" x14ac:dyDescent="0.35"/>
    <row r="5835" s="13" customFormat="1" x14ac:dyDescent="0.35"/>
    <row r="5836" s="13" customFormat="1" x14ac:dyDescent="0.35"/>
    <row r="5837" s="13" customFormat="1" x14ac:dyDescent="0.35"/>
    <row r="5838" s="13" customFormat="1" x14ac:dyDescent="0.35"/>
    <row r="5839" s="13" customFormat="1" x14ac:dyDescent="0.35"/>
    <row r="5840" s="13" customFormat="1" x14ac:dyDescent="0.35"/>
    <row r="5841" s="13" customFormat="1" x14ac:dyDescent="0.35"/>
    <row r="5842" s="13" customFormat="1" x14ac:dyDescent="0.35"/>
    <row r="5843" s="13" customFormat="1" x14ac:dyDescent="0.35"/>
    <row r="5844" s="13" customFormat="1" x14ac:dyDescent="0.35"/>
    <row r="5845" s="13" customFormat="1" x14ac:dyDescent="0.35"/>
    <row r="5846" s="13" customFormat="1" x14ac:dyDescent="0.35"/>
    <row r="5847" s="13" customFormat="1" x14ac:dyDescent="0.35"/>
    <row r="5848" s="13" customFormat="1" x14ac:dyDescent="0.35"/>
    <row r="5849" s="13" customFormat="1" x14ac:dyDescent="0.35"/>
    <row r="5850" s="13" customFormat="1" x14ac:dyDescent="0.35"/>
    <row r="5851" s="13" customFormat="1" x14ac:dyDescent="0.35"/>
    <row r="5852" s="13" customFormat="1" x14ac:dyDescent="0.35"/>
    <row r="5853" s="13" customFormat="1" x14ac:dyDescent="0.35"/>
    <row r="5854" s="13" customFormat="1" x14ac:dyDescent="0.35"/>
    <row r="5855" s="13" customFormat="1" x14ac:dyDescent="0.35"/>
    <row r="5856" s="13" customFormat="1" x14ac:dyDescent="0.35"/>
    <row r="5857" s="13" customFormat="1" x14ac:dyDescent="0.35"/>
    <row r="5858" s="13" customFormat="1" x14ac:dyDescent="0.35"/>
    <row r="5859" s="13" customFormat="1" x14ac:dyDescent="0.35"/>
    <row r="5860" s="13" customFormat="1" x14ac:dyDescent="0.35"/>
    <row r="5861" s="13" customFormat="1" x14ac:dyDescent="0.35"/>
    <row r="5862" s="13" customFormat="1" x14ac:dyDescent="0.35"/>
    <row r="5863" s="13" customFormat="1" x14ac:dyDescent="0.35"/>
    <row r="5864" s="13" customFormat="1" x14ac:dyDescent="0.35"/>
    <row r="5865" s="13" customFormat="1" x14ac:dyDescent="0.35"/>
    <row r="5866" s="13" customFormat="1" x14ac:dyDescent="0.35"/>
    <row r="5867" s="13" customFormat="1" x14ac:dyDescent="0.35"/>
    <row r="5868" s="13" customFormat="1" x14ac:dyDescent="0.35"/>
    <row r="5869" s="13" customFormat="1" x14ac:dyDescent="0.35"/>
    <row r="5870" s="13" customFormat="1" x14ac:dyDescent="0.35"/>
    <row r="5871" s="13" customFormat="1" x14ac:dyDescent="0.35"/>
    <row r="5872" s="13" customFormat="1" x14ac:dyDescent="0.35"/>
    <row r="5873" s="13" customFormat="1" x14ac:dyDescent="0.35"/>
    <row r="5874" s="13" customFormat="1" x14ac:dyDescent="0.35"/>
    <row r="5875" s="13" customFormat="1" x14ac:dyDescent="0.35"/>
    <row r="5876" s="13" customFormat="1" x14ac:dyDescent="0.35"/>
    <row r="5877" s="13" customFormat="1" x14ac:dyDescent="0.35"/>
    <row r="5878" s="13" customFormat="1" x14ac:dyDescent="0.35"/>
    <row r="5879" s="13" customFormat="1" x14ac:dyDescent="0.35"/>
    <row r="5880" s="13" customFormat="1" x14ac:dyDescent="0.35"/>
    <row r="5881" s="13" customFormat="1" x14ac:dyDescent="0.35"/>
    <row r="5882" s="13" customFormat="1" x14ac:dyDescent="0.35"/>
    <row r="5883" s="13" customFormat="1" x14ac:dyDescent="0.35"/>
    <row r="5884" s="13" customFormat="1" x14ac:dyDescent="0.35"/>
    <row r="5885" s="13" customFormat="1" x14ac:dyDescent="0.35"/>
    <row r="5886" s="13" customFormat="1" x14ac:dyDescent="0.35"/>
    <row r="5887" s="13" customFormat="1" x14ac:dyDescent="0.35"/>
    <row r="5888" s="13" customFormat="1" x14ac:dyDescent="0.35"/>
    <row r="5889" s="13" customFormat="1" x14ac:dyDescent="0.35"/>
    <row r="5890" s="13" customFormat="1" x14ac:dyDescent="0.35"/>
    <row r="5891" s="13" customFormat="1" x14ac:dyDescent="0.35"/>
    <row r="5892" s="13" customFormat="1" x14ac:dyDescent="0.35"/>
    <row r="5893" s="13" customFormat="1" x14ac:dyDescent="0.35"/>
    <row r="5894" s="13" customFormat="1" x14ac:dyDescent="0.35"/>
    <row r="5895" s="13" customFormat="1" x14ac:dyDescent="0.35"/>
    <row r="5896" s="13" customFormat="1" x14ac:dyDescent="0.35"/>
    <row r="5897" s="13" customFormat="1" x14ac:dyDescent="0.35"/>
    <row r="5898" s="13" customFormat="1" x14ac:dyDescent="0.35"/>
    <row r="5899" s="13" customFormat="1" x14ac:dyDescent="0.35"/>
    <row r="5900" s="13" customFormat="1" x14ac:dyDescent="0.35"/>
    <row r="5901" s="13" customFormat="1" x14ac:dyDescent="0.35"/>
    <row r="5902" s="13" customFormat="1" x14ac:dyDescent="0.35"/>
    <row r="5903" s="13" customFormat="1" x14ac:dyDescent="0.35"/>
    <row r="5904" s="13" customFormat="1" x14ac:dyDescent="0.35"/>
    <row r="5905" s="13" customFormat="1" x14ac:dyDescent="0.35"/>
    <row r="5906" s="13" customFormat="1" x14ac:dyDescent="0.35"/>
    <row r="5907" s="13" customFormat="1" x14ac:dyDescent="0.35"/>
    <row r="5908" s="13" customFormat="1" x14ac:dyDescent="0.35"/>
    <row r="5909" s="13" customFormat="1" x14ac:dyDescent="0.35"/>
    <row r="5910" s="13" customFormat="1" x14ac:dyDescent="0.35"/>
    <row r="5911" s="13" customFormat="1" x14ac:dyDescent="0.35"/>
    <row r="5912" s="13" customFormat="1" x14ac:dyDescent="0.35"/>
    <row r="5913" s="13" customFormat="1" x14ac:dyDescent="0.35"/>
    <row r="5914" s="13" customFormat="1" x14ac:dyDescent="0.35"/>
    <row r="5915" s="13" customFormat="1" x14ac:dyDescent="0.35"/>
    <row r="5916" s="13" customFormat="1" x14ac:dyDescent="0.35"/>
    <row r="5917" s="13" customFormat="1" x14ac:dyDescent="0.35"/>
    <row r="5918" s="13" customFormat="1" x14ac:dyDescent="0.35"/>
    <row r="5919" s="13" customFormat="1" x14ac:dyDescent="0.35"/>
    <row r="5920" s="13" customFormat="1" x14ac:dyDescent="0.35"/>
    <row r="5921" s="13" customFormat="1" x14ac:dyDescent="0.35"/>
    <row r="5922" s="13" customFormat="1" x14ac:dyDescent="0.35"/>
    <row r="5923" s="13" customFormat="1" x14ac:dyDescent="0.35"/>
    <row r="5924" s="13" customFormat="1" x14ac:dyDescent="0.35"/>
    <row r="5925" s="13" customFormat="1" x14ac:dyDescent="0.35"/>
    <row r="5926" s="13" customFormat="1" x14ac:dyDescent="0.35"/>
    <row r="5927" s="13" customFormat="1" x14ac:dyDescent="0.35"/>
    <row r="5928" s="13" customFormat="1" x14ac:dyDescent="0.35"/>
    <row r="5929" s="13" customFormat="1" x14ac:dyDescent="0.35"/>
    <row r="5930" s="13" customFormat="1" x14ac:dyDescent="0.35"/>
    <row r="5931" s="13" customFormat="1" x14ac:dyDescent="0.35"/>
    <row r="5932" s="13" customFormat="1" x14ac:dyDescent="0.35"/>
    <row r="5933" s="13" customFormat="1" x14ac:dyDescent="0.35"/>
    <row r="5934" s="13" customFormat="1" x14ac:dyDescent="0.35"/>
    <row r="5935" s="13" customFormat="1" x14ac:dyDescent="0.35"/>
    <row r="5936" s="13" customFormat="1" x14ac:dyDescent="0.35"/>
    <row r="5937" s="13" customFormat="1" x14ac:dyDescent="0.35"/>
    <row r="5938" s="13" customFormat="1" x14ac:dyDescent="0.35"/>
    <row r="5939" s="13" customFormat="1" x14ac:dyDescent="0.35"/>
    <row r="5940" s="13" customFormat="1" x14ac:dyDescent="0.35"/>
    <row r="5941" s="13" customFormat="1" x14ac:dyDescent="0.35"/>
    <row r="5942" s="13" customFormat="1" x14ac:dyDescent="0.35"/>
    <row r="5943" s="13" customFormat="1" x14ac:dyDescent="0.35"/>
    <row r="5944" s="13" customFormat="1" x14ac:dyDescent="0.35"/>
    <row r="5945" s="13" customFormat="1" x14ac:dyDescent="0.35"/>
    <row r="5946" s="13" customFormat="1" x14ac:dyDescent="0.35"/>
    <row r="5947" s="13" customFormat="1" x14ac:dyDescent="0.35"/>
    <row r="5948" s="13" customFormat="1" x14ac:dyDescent="0.35"/>
    <row r="5949" s="13" customFormat="1" x14ac:dyDescent="0.35"/>
    <row r="5950" s="13" customFormat="1" x14ac:dyDescent="0.35"/>
    <row r="5951" s="13" customFormat="1" x14ac:dyDescent="0.35"/>
    <row r="5952" s="13" customFormat="1" x14ac:dyDescent="0.35"/>
    <row r="5953" s="13" customFormat="1" x14ac:dyDescent="0.35"/>
    <row r="5954" s="13" customFormat="1" x14ac:dyDescent="0.35"/>
    <row r="5955" s="13" customFormat="1" x14ac:dyDescent="0.35"/>
    <row r="5956" s="13" customFormat="1" x14ac:dyDescent="0.35"/>
    <row r="5957" s="13" customFormat="1" x14ac:dyDescent="0.35"/>
    <row r="5958" s="13" customFormat="1" x14ac:dyDescent="0.35"/>
    <row r="5959" s="13" customFormat="1" x14ac:dyDescent="0.35"/>
    <row r="5960" s="13" customFormat="1" x14ac:dyDescent="0.35"/>
    <row r="5961" s="13" customFormat="1" x14ac:dyDescent="0.35"/>
    <row r="5962" s="13" customFormat="1" x14ac:dyDescent="0.35"/>
    <row r="5963" s="13" customFormat="1" x14ac:dyDescent="0.35"/>
    <row r="5964" s="13" customFormat="1" x14ac:dyDescent="0.35"/>
    <row r="5965" s="13" customFormat="1" x14ac:dyDescent="0.35"/>
    <row r="5966" s="13" customFormat="1" x14ac:dyDescent="0.35"/>
    <row r="5967" s="13" customFormat="1" x14ac:dyDescent="0.35"/>
    <row r="5968" s="13" customFormat="1" x14ac:dyDescent="0.35"/>
    <row r="5969" s="13" customFormat="1" x14ac:dyDescent="0.35"/>
    <row r="5970" s="13" customFormat="1" x14ac:dyDescent="0.35"/>
    <row r="5971" s="13" customFormat="1" x14ac:dyDescent="0.35"/>
    <row r="5972" s="13" customFormat="1" x14ac:dyDescent="0.35"/>
    <row r="5973" s="13" customFormat="1" x14ac:dyDescent="0.35"/>
    <row r="5974" s="13" customFormat="1" x14ac:dyDescent="0.35"/>
    <row r="5975" s="13" customFormat="1" x14ac:dyDescent="0.35"/>
    <row r="5976" s="13" customFormat="1" x14ac:dyDescent="0.35"/>
    <row r="5977" s="13" customFormat="1" x14ac:dyDescent="0.35"/>
    <row r="5978" s="13" customFormat="1" x14ac:dyDescent="0.35"/>
    <row r="5979" s="13" customFormat="1" x14ac:dyDescent="0.35"/>
    <row r="5980" s="13" customFormat="1" x14ac:dyDescent="0.35"/>
    <row r="5981" s="13" customFormat="1" x14ac:dyDescent="0.35"/>
    <row r="5982" s="13" customFormat="1" x14ac:dyDescent="0.35"/>
    <row r="5983" s="13" customFormat="1" x14ac:dyDescent="0.35"/>
    <row r="5984" s="13" customFormat="1" x14ac:dyDescent="0.35"/>
    <row r="5985" s="13" customFormat="1" x14ac:dyDescent="0.35"/>
    <row r="5986" s="13" customFormat="1" x14ac:dyDescent="0.35"/>
    <row r="5987" s="13" customFormat="1" x14ac:dyDescent="0.35"/>
    <row r="5988" s="13" customFormat="1" x14ac:dyDescent="0.35"/>
    <row r="5989" s="13" customFormat="1" x14ac:dyDescent="0.35"/>
    <row r="5990" s="13" customFormat="1" x14ac:dyDescent="0.35"/>
    <row r="5991" s="13" customFormat="1" x14ac:dyDescent="0.35"/>
    <row r="5992" s="13" customFormat="1" x14ac:dyDescent="0.35"/>
    <row r="5993" s="13" customFormat="1" x14ac:dyDescent="0.35"/>
    <row r="5994" s="13" customFormat="1" x14ac:dyDescent="0.35"/>
    <row r="5995" s="13" customFormat="1" x14ac:dyDescent="0.35"/>
    <row r="5996" s="13" customFormat="1" x14ac:dyDescent="0.35"/>
    <row r="5997" s="13" customFormat="1" x14ac:dyDescent="0.35"/>
    <row r="5998" s="13" customFormat="1" x14ac:dyDescent="0.35"/>
    <row r="5999" s="13" customFormat="1" x14ac:dyDescent="0.35"/>
    <row r="6000" s="13" customFormat="1" x14ac:dyDescent="0.35"/>
    <row r="6001" s="13" customFormat="1" x14ac:dyDescent="0.35"/>
    <row r="6002" s="13" customFormat="1" x14ac:dyDescent="0.35"/>
    <row r="6003" s="13" customFormat="1" x14ac:dyDescent="0.35"/>
    <row r="6004" s="13" customFormat="1" x14ac:dyDescent="0.35"/>
    <row r="6005" s="13" customFormat="1" x14ac:dyDescent="0.35"/>
    <row r="6006" s="13" customFormat="1" x14ac:dyDescent="0.35"/>
    <row r="6007" s="13" customFormat="1" x14ac:dyDescent="0.35"/>
    <row r="6008" s="13" customFormat="1" x14ac:dyDescent="0.35"/>
    <row r="6009" s="13" customFormat="1" x14ac:dyDescent="0.35"/>
    <row r="6010" s="13" customFormat="1" x14ac:dyDescent="0.35"/>
    <row r="6011" s="13" customFormat="1" x14ac:dyDescent="0.35"/>
    <row r="6012" s="13" customFormat="1" x14ac:dyDescent="0.35"/>
    <row r="6013" s="13" customFormat="1" x14ac:dyDescent="0.35"/>
    <row r="6014" s="13" customFormat="1" x14ac:dyDescent="0.35"/>
    <row r="6015" s="13" customFormat="1" x14ac:dyDescent="0.35"/>
    <row r="6016" s="13" customFormat="1" x14ac:dyDescent="0.35"/>
    <row r="6017" s="13" customFormat="1" x14ac:dyDescent="0.35"/>
    <row r="6018" s="13" customFormat="1" x14ac:dyDescent="0.35"/>
    <row r="6019" s="13" customFormat="1" x14ac:dyDescent="0.35"/>
    <row r="6020" s="13" customFormat="1" x14ac:dyDescent="0.35"/>
    <row r="6021" s="13" customFormat="1" x14ac:dyDescent="0.35"/>
    <row r="6022" s="13" customFormat="1" x14ac:dyDescent="0.35"/>
    <row r="6023" s="13" customFormat="1" x14ac:dyDescent="0.35"/>
    <row r="6024" s="13" customFormat="1" x14ac:dyDescent="0.35"/>
    <row r="6025" s="13" customFormat="1" x14ac:dyDescent="0.35"/>
    <row r="6026" s="13" customFormat="1" x14ac:dyDescent="0.35"/>
    <row r="6027" s="13" customFormat="1" x14ac:dyDescent="0.35"/>
    <row r="6028" s="13" customFormat="1" x14ac:dyDescent="0.35"/>
    <row r="6029" s="13" customFormat="1" x14ac:dyDescent="0.35"/>
    <row r="6030" s="13" customFormat="1" x14ac:dyDescent="0.35"/>
    <row r="6031" s="13" customFormat="1" x14ac:dyDescent="0.35"/>
    <row r="6032" s="13" customFormat="1" x14ac:dyDescent="0.35"/>
    <row r="6033" s="13" customFormat="1" x14ac:dyDescent="0.35"/>
    <row r="6034" s="13" customFormat="1" x14ac:dyDescent="0.35"/>
    <row r="6035" s="13" customFormat="1" x14ac:dyDescent="0.35"/>
    <row r="6036" s="13" customFormat="1" x14ac:dyDescent="0.35"/>
    <row r="6037" s="13" customFormat="1" x14ac:dyDescent="0.35"/>
    <row r="6038" s="13" customFormat="1" x14ac:dyDescent="0.35"/>
    <row r="6039" s="13" customFormat="1" x14ac:dyDescent="0.35"/>
    <row r="6040" s="13" customFormat="1" x14ac:dyDescent="0.35"/>
    <row r="6041" s="13" customFormat="1" x14ac:dyDescent="0.35"/>
    <row r="6042" s="13" customFormat="1" x14ac:dyDescent="0.35"/>
    <row r="6043" s="13" customFormat="1" x14ac:dyDescent="0.35"/>
    <row r="6044" s="13" customFormat="1" x14ac:dyDescent="0.35"/>
    <row r="6045" s="13" customFormat="1" x14ac:dyDescent="0.35"/>
    <row r="6046" s="13" customFormat="1" x14ac:dyDescent="0.35"/>
    <row r="6047" s="13" customFormat="1" x14ac:dyDescent="0.35"/>
    <row r="6048" s="13" customFormat="1" x14ac:dyDescent="0.35"/>
    <row r="6049" s="13" customFormat="1" x14ac:dyDescent="0.35"/>
    <row r="6050" s="13" customFormat="1" x14ac:dyDescent="0.35"/>
    <row r="6051" s="13" customFormat="1" x14ac:dyDescent="0.35"/>
    <row r="6052" s="13" customFormat="1" x14ac:dyDescent="0.35"/>
    <row r="6053" s="13" customFormat="1" x14ac:dyDescent="0.35"/>
    <row r="6054" s="13" customFormat="1" x14ac:dyDescent="0.35"/>
    <row r="6055" s="13" customFormat="1" x14ac:dyDescent="0.35"/>
    <row r="6056" s="13" customFormat="1" x14ac:dyDescent="0.35"/>
    <row r="6057" s="13" customFormat="1" x14ac:dyDescent="0.35"/>
    <row r="6058" s="13" customFormat="1" x14ac:dyDescent="0.35"/>
    <row r="6059" s="13" customFormat="1" x14ac:dyDescent="0.35"/>
    <row r="6060" s="13" customFormat="1" x14ac:dyDescent="0.35"/>
    <row r="6061" s="13" customFormat="1" x14ac:dyDescent="0.35"/>
    <row r="6062" s="13" customFormat="1" x14ac:dyDescent="0.35"/>
    <row r="6063" s="13" customFormat="1" x14ac:dyDescent="0.35"/>
    <row r="6064" s="13" customFormat="1" x14ac:dyDescent="0.35"/>
    <row r="6065" s="13" customFormat="1" x14ac:dyDescent="0.35"/>
    <row r="6066" s="13" customFormat="1" x14ac:dyDescent="0.35"/>
    <row r="6067" s="13" customFormat="1" x14ac:dyDescent="0.35"/>
    <row r="6068" s="13" customFormat="1" x14ac:dyDescent="0.35"/>
    <row r="6069" s="13" customFormat="1" x14ac:dyDescent="0.35"/>
    <row r="6070" s="13" customFormat="1" x14ac:dyDescent="0.35"/>
    <row r="6071" s="13" customFormat="1" x14ac:dyDescent="0.35"/>
    <row r="6072" s="13" customFormat="1" x14ac:dyDescent="0.35"/>
    <row r="6073" s="13" customFormat="1" x14ac:dyDescent="0.35"/>
    <row r="6074" s="13" customFormat="1" x14ac:dyDescent="0.35"/>
    <row r="6075" s="13" customFormat="1" x14ac:dyDescent="0.35"/>
    <row r="6076" s="13" customFormat="1" x14ac:dyDescent="0.35"/>
    <row r="6077" s="13" customFormat="1" x14ac:dyDescent="0.35"/>
    <row r="6078" s="13" customFormat="1" x14ac:dyDescent="0.35"/>
    <row r="6079" s="13" customFormat="1" x14ac:dyDescent="0.35"/>
    <row r="6080" s="13" customFormat="1" x14ac:dyDescent="0.35"/>
    <row r="6081" s="13" customFormat="1" x14ac:dyDescent="0.35"/>
    <row r="6082" s="13" customFormat="1" x14ac:dyDescent="0.35"/>
    <row r="6083" s="13" customFormat="1" x14ac:dyDescent="0.35"/>
    <row r="6084" s="13" customFormat="1" x14ac:dyDescent="0.35"/>
    <row r="6085" s="13" customFormat="1" x14ac:dyDescent="0.35"/>
    <row r="6086" s="13" customFormat="1" x14ac:dyDescent="0.35"/>
    <row r="6087" s="13" customFormat="1" x14ac:dyDescent="0.35"/>
    <row r="6088" s="13" customFormat="1" x14ac:dyDescent="0.35"/>
    <row r="6089" s="13" customFormat="1" x14ac:dyDescent="0.35"/>
    <row r="6090" s="13" customFormat="1" x14ac:dyDescent="0.35"/>
    <row r="6091" s="13" customFormat="1" x14ac:dyDescent="0.35"/>
    <row r="6092" s="13" customFormat="1" x14ac:dyDescent="0.35"/>
    <row r="6093" s="13" customFormat="1" x14ac:dyDescent="0.35"/>
    <row r="6094" s="13" customFormat="1" x14ac:dyDescent="0.35"/>
    <row r="6095" s="13" customFormat="1" x14ac:dyDescent="0.35"/>
    <row r="6096" s="13" customFormat="1" x14ac:dyDescent="0.35"/>
    <row r="6097" s="13" customFormat="1" x14ac:dyDescent="0.35"/>
    <row r="6098" s="13" customFormat="1" x14ac:dyDescent="0.35"/>
    <row r="6099" s="13" customFormat="1" x14ac:dyDescent="0.35"/>
    <row r="6100" s="13" customFormat="1" x14ac:dyDescent="0.35"/>
    <row r="6101" s="13" customFormat="1" x14ac:dyDescent="0.35"/>
    <row r="6102" s="13" customFormat="1" x14ac:dyDescent="0.35"/>
    <row r="6103" s="13" customFormat="1" x14ac:dyDescent="0.35"/>
    <row r="6104" s="13" customFormat="1" x14ac:dyDescent="0.35"/>
    <row r="6105" s="13" customFormat="1" x14ac:dyDescent="0.35"/>
    <row r="6106" s="13" customFormat="1" x14ac:dyDescent="0.35"/>
    <row r="6107" s="13" customFormat="1" x14ac:dyDescent="0.35"/>
    <row r="6108" s="13" customFormat="1" x14ac:dyDescent="0.35"/>
    <row r="6109" s="13" customFormat="1" x14ac:dyDescent="0.35"/>
    <row r="6110" s="13" customFormat="1" x14ac:dyDescent="0.35"/>
    <row r="6111" s="13" customFormat="1" x14ac:dyDescent="0.35"/>
    <row r="6112" s="13" customFormat="1" x14ac:dyDescent="0.35"/>
    <row r="6113" s="13" customFormat="1" x14ac:dyDescent="0.35"/>
    <row r="6114" s="13" customFormat="1" x14ac:dyDescent="0.35"/>
    <row r="6115" s="13" customFormat="1" x14ac:dyDescent="0.35"/>
    <row r="6116" s="13" customFormat="1" x14ac:dyDescent="0.35"/>
    <row r="6117" s="13" customFormat="1" x14ac:dyDescent="0.35"/>
    <row r="6118" s="13" customFormat="1" x14ac:dyDescent="0.35"/>
    <row r="6119" s="13" customFormat="1" x14ac:dyDescent="0.35"/>
    <row r="6120" s="13" customFormat="1" x14ac:dyDescent="0.35"/>
    <row r="6121" s="13" customFormat="1" x14ac:dyDescent="0.35"/>
    <row r="6122" s="13" customFormat="1" x14ac:dyDescent="0.35"/>
    <row r="6123" s="13" customFormat="1" x14ac:dyDescent="0.35"/>
    <row r="6124" s="13" customFormat="1" x14ac:dyDescent="0.35"/>
    <row r="6125" s="13" customFormat="1" x14ac:dyDescent="0.35"/>
    <row r="6126" s="13" customFormat="1" x14ac:dyDescent="0.35"/>
    <row r="6127" s="13" customFormat="1" x14ac:dyDescent="0.35"/>
    <row r="6128" s="13" customFormat="1" x14ac:dyDescent="0.35"/>
    <row r="6129" s="13" customFormat="1" x14ac:dyDescent="0.35"/>
    <row r="6130" s="13" customFormat="1" x14ac:dyDescent="0.35"/>
    <row r="6131" s="13" customFormat="1" x14ac:dyDescent="0.35"/>
    <row r="6132" s="13" customFormat="1" x14ac:dyDescent="0.35"/>
    <row r="6133" s="13" customFormat="1" x14ac:dyDescent="0.35"/>
    <row r="6134" s="13" customFormat="1" x14ac:dyDescent="0.35"/>
    <row r="6135" s="13" customFormat="1" x14ac:dyDescent="0.35"/>
    <row r="6136" s="13" customFormat="1" x14ac:dyDescent="0.35"/>
    <row r="6137" s="13" customFormat="1" x14ac:dyDescent="0.35"/>
    <row r="6138" s="13" customFormat="1" x14ac:dyDescent="0.35"/>
    <row r="6139" s="13" customFormat="1" x14ac:dyDescent="0.35"/>
    <row r="6140" s="13" customFormat="1" x14ac:dyDescent="0.35"/>
    <row r="6141" s="13" customFormat="1" x14ac:dyDescent="0.35"/>
    <row r="6142" s="13" customFormat="1" x14ac:dyDescent="0.35"/>
    <row r="6143" s="13" customFormat="1" x14ac:dyDescent="0.35"/>
    <row r="6144" s="13" customFormat="1" x14ac:dyDescent="0.35"/>
    <row r="6145" s="13" customFormat="1" x14ac:dyDescent="0.35"/>
    <row r="6146" s="13" customFormat="1" x14ac:dyDescent="0.35"/>
    <row r="6147" s="13" customFormat="1" x14ac:dyDescent="0.35"/>
    <row r="6148" s="13" customFormat="1" x14ac:dyDescent="0.35"/>
    <row r="6149" s="13" customFormat="1" x14ac:dyDescent="0.35"/>
    <row r="6150" s="13" customFormat="1" x14ac:dyDescent="0.35"/>
    <row r="6151" s="13" customFormat="1" x14ac:dyDescent="0.35"/>
    <row r="6152" s="13" customFormat="1" x14ac:dyDescent="0.35"/>
    <row r="6153" s="13" customFormat="1" x14ac:dyDescent="0.35"/>
    <row r="6154" s="13" customFormat="1" x14ac:dyDescent="0.35"/>
    <row r="6155" s="13" customFormat="1" x14ac:dyDescent="0.35"/>
    <row r="6156" s="13" customFormat="1" x14ac:dyDescent="0.35"/>
    <row r="6157" s="13" customFormat="1" x14ac:dyDescent="0.35"/>
    <row r="6158" s="13" customFormat="1" x14ac:dyDescent="0.35"/>
    <row r="6159" s="13" customFormat="1" x14ac:dyDescent="0.35"/>
    <row r="6160" s="13" customFormat="1" x14ac:dyDescent="0.35"/>
    <row r="6161" s="13" customFormat="1" x14ac:dyDescent="0.35"/>
    <row r="6162" s="13" customFormat="1" x14ac:dyDescent="0.35"/>
    <row r="6163" s="13" customFormat="1" x14ac:dyDescent="0.35"/>
    <row r="6164" s="13" customFormat="1" x14ac:dyDescent="0.35"/>
    <row r="6165" s="13" customFormat="1" x14ac:dyDescent="0.35"/>
    <row r="6166" s="13" customFormat="1" x14ac:dyDescent="0.35"/>
    <row r="6167" s="13" customFormat="1" x14ac:dyDescent="0.35"/>
    <row r="6168" s="13" customFormat="1" x14ac:dyDescent="0.35"/>
    <row r="6169" s="13" customFormat="1" x14ac:dyDescent="0.35"/>
    <row r="6170" s="13" customFormat="1" x14ac:dyDescent="0.35"/>
    <row r="6171" s="13" customFormat="1" x14ac:dyDescent="0.35"/>
    <row r="6172" s="13" customFormat="1" x14ac:dyDescent="0.35"/>
    <row r="6173" s="13" customFormat="1" x14ac:dyDescent="0.35"/>
    <row r="6174" s="13" customFormat="1" x14ac:dyDescent="0.35"/>
    <row r="6175" s="13" customFormat="1" x14ac:dyDescent="0.35"/>
    <row r="6176" s="13" customFormat="1" x14ac:dyDescent="0.35"/>
    <row r="6177" s="13" customFormat="1" x14ac:dyDescent="0.35"/>
    <row r="6178" s="13" customFormat="1" x14ac:dyDescent="0.35"/>
    <row r="6179" s="13" customFormat="1" x14ac:dyDescent="0.35"/>
    <row r="6180" s="13" customFormat="1" x14ac:dyDescent="0.35"/>
    <row r="6181" s="13" customFormat="1" x14ac:dyDescent="0.35"/>
    <row r="6182" s="13" customFormat="1" x14ac:dyDescent="0.35"/>
    <row r="6183" s="13" customFormat="1" x14ac:dyDescent="0.35"/>
    <row r="6184" s="13" customFormat="1" x14ac:dyDescent="0.35"/>
    <row r="6185" s="13" customFormat="1" x14ac:dyDescent="0.35"/>
    <row r="6186" s="13" customFormat="1" x14ac:dyDescent="0.35"/>
    <row r="6187" s="13" customFormat="1" x14ac:dyDescent="0.35"/>
    <row r="6188" s="13" customFormat="1" x14ac:dyDescent="0.35"/>
    <row r="6189" s="13" customFormat="1" x14ac:dyDescent="0.35"/>
    <row r="6190" s="13" customFormat="1" x14ac:dyDescent="0.35"/>
    <row r="6191" s="13" customFormat="1" x14ac:dyDescent="0.35"/>
    <row r="6192" s="13" customFormat="1" x14ac:dyDescent="0.35"/>
    <row r="6193" s="13" customFormat="1" x14ac:dyDescent="0.35"/>
    <row r="6194" s="13" customFormat="1" x14ac:dyDescent="0.35"/>
    <row r="6195" s="13" customFormat="1" x14ac:dyDescent="0.35"/>
    <row r="6196" s="13" customFormat="1" x14ac:dyDescent="0.35"/>
    <row r="6197" s="13" customFormat="1" x14ac:dyDescent="0.35"/>
    <row r="6198" s="13" customFormat="1" x14ac:dyDescent="0.35"/>
    <row r="6199" s="13" customFormat="1" x14ac:dyDescent="0.35"/>
    <row r="6200" s="13" customFormat="1" x14ac:dyDescent="0.35"/>
    <row r="6201" s="13" customFormat="1" x14ac:dyDescent="0.35"/>
    <row r="6202" s="13" customFormat="1" x14ac:dyDescent="0.35"/>
    <row r="6203" s="13" customFormat="1" x14ac:dyDescent="0.35"/>
    <row r="6204" s="13" customFormat="1" x14ac:dyDescent="0.35"/>
    <row r="6205" s="13" customFormat="1" x14ac:dyDescent="0.35"/>
    <row r="6206" s="13" customFormat="1" x14ac:dyDescent="0.35"/>
    <row r="6207" s="13" customFormat="1" x14ac:dyDescent="0.35"/>
    <row r="6208" s="13" customFormat="1" x14ac:dyDescent="0.35"/>
    <row r="6209" s="13" customFormat="1" x14ac:dyDescent="0.35"/>
    <row r="6210" s="13" customFormat="1" x14ac:dyDescent="0.35"/>
    <row r="6211" s="13" customFormat="1" x14ac:dyDescent="0.35"/>
    <row r="6212" s="13" customFormat="1" x14ac:dyDescent="0.35"/>
    <row r="6213" s="13" customFormat="1" x14ac:dyDescent="0.35"/>
    <row r="6214" s="13" customFormat="1" x14ac:dyDescent="0.35"/>
    <row r="6215" s="13" customFormat="1" x14ac:dyDescent="0.35"/>
    <row r="6216" s="13" customFormat="1" x14ac:dyDescent="0.35"/>
    <row r="6217" s="13" customFormat="1" x14ac:dyDescent="0.35"/>
    <row r="6218" s="13" customFormat="1" x14ac:dyDescent="0.35"/>
    <row r="6219" s="13" customFormat="1" x14ac:dyDescent="0.35"/>
    <row r="6220" s="13" customFormat="1" x14ac:dyDescent="0.35"/>
    <row r="6221" s="13" customFormat="1" x14ac:dyDescent="0.35"/>
    <row r="6222" s="13" customFormat="1" x14ac:dyDescent="0.35"/>
    <row r="6223" s="13" customFormat="1" x14ac:dyDescent="0.35"/>
    <row r="6224" s="13" customFormat="1" x14ac:dyDescent="0.35"/>
    <row r="6225" s="13" customFormat="1" x14ac:dyDescent="0.35"/>
    <row r="6226" s="13" customFormat="1" x14ac:dyDescent="0.35"/>
    <row r="6227" s="13" customFormat="1" x14ac:dyDescent="0.35"/>
    <row r="6228" s="13" customFormat="1" x14ac:dyDescent="0.35"/>
    <row r="6229" s="13" customFormat="1" x14ac:dyDescent="0.35"/>
    <row r="6230" s="13" customFormat="1" x14ac:dyDescent="0.35"/>
    <row r="6231" s="13" customFormat="1" x14ac:dyDescent="0.35"/>
    <row r="6232" s="13" customFormat="1" x14ac:dyDescent="0.35"/>
    <row r="6233" s="13" customFormat="1" x14ac:dyDescent="0.35"/>
    <row r="6234" s="13" customFormat="1" x14ac:dyDescent="0.35"/>
    <row r="6235" s="13" customFormat="1" x14ac:dyDescent="0.35"/>
    <row r="6236" s="13" customFormat="1" x14ac:dyDescent="0.35"/>
    <row r="6237" s="13" customFormat="1" x14ac:dyDescent="0.35"/>
    <row r="6238" s="13" customFormat="1" x14ac:dyDescent="0.35"/>
    <row r="6239" s="13" customFormat="1" x14ac:dyDescent="0.35"/>
    <row r="6240" s="13" customFormat="1" x14ac:dyDescent="0.35"/>
    <row r="6241" s="13" customFormat="1" x14ac:dyDescent="0.35"/>
    <row r="6242" s="13" customFormat="1" x14ac:dyDescent="0.35"/>
    <row r="6243" s="13" customFormat="1" x14ac:dyDescent="0.35"/>
    <row r="6244" s="13" customFormat="1" x14ac:dyDescent="0.35"/>
    <row r="6245" s="13" customFormat="1" x14ac:dyDescent="0.35"/>
    <row r="6246" s="13" customFormat="1" x14ac:dyDescent="0.35"/>
    <row r="6247" s="13" customFormat="1" x14ac:dyDescent="0.35"/>
    <row r="6248" s="13" customFormat="1" x14ac:dyDescent="0.35"/>
    <row r="6249" s="13" customFormat="1" x14ac:dyDescent="0.35"/>
    <row r="6250" s="13" customFormat="1" x14ac:dyDescent="0.35"/>
    <row r="6251" s="13" customFormat="1" x14ac:dyDescent="0.35"/>
    <row r="6252" s="13" customFormat="1" x14ac:dyDescent="0.35"/>
    <row r="6253" s="13" customFormat="1" x14ac:dyDescent="0.35"/>
    <row r="6254" s="13" customFormat="1" x14ac:dyDescent="0.35"/>
    <row r="6255" s="13" customFormat="1" x14ac:dyDescent="0.35"/>
    <row r="6256" s="13" customFormat="1" x14ac:dyDescent="0.35"/>
    <row r="6257" s="13" customFormat="1" x14ac:dyDescent="0.35"/>
    <row r="6258" s="13" customFormat="1" x14ac:dyDescent="0.35"/>
    <row r="6259" s="13" customFormat="1" x14ac:dyDescent="0.35"/>
    <row r="6260" s="13" customFormat="1" x14ac:dyDescent="0.35"/>
    <row r="6261" s="13" customFormat="1" x14ac:dyDescent="0.35"/>
    <row r="6262" s="13" customFormat="1" x14ac:dyDescent="0.35"/>
    <row r="6263" s="13" customFormat="1" x14ac:dyDescent="0.35"/>
    <row r="6264" s="13" customFormat="1" x14ac:dyDescent="0.35"/>
    <row r="6265" s="13" customFormat="1" x14ac:dyDescent="0.35"/>
    <row r="6266" s="13" customFormat="1" x14ac:dyDescent="0.35"/>
    <row r="6267" s="13" customFormat="1" x14ac:dyDescent="0.35"/>
    <row r="6268" s="13" customFormat="1" x14ac:dyDescent="0.35"/>
    <row r="6269" s="13" customFormat="1" x14ac:dyDescent="0.35"/>
    <row r="6270" s="13" customFormat="1" x14ac:dyDescent="0.35"/>
    <row r="6271" s="13" customFormat="1" x14ac:dyDescent="0.35"/>
    <row r="6272" s="13" customFormat="1" x14ac:dyDescent="0.35"/>
    <row r="6273" s="13" customFormat="1" x14ac:dyDescent="0.35"/>
    <row r="6274" s="13" customFormat="1" x14ac:dyDescent="0.35"/>
    <row r="6275" s="13" customFormat="1" x14ac:dyDescent="0.35"/>
    <row r="6276" s="13" customFormat="1" x14ac:dyDescent="0.35"/>
    <row r="6277" s="13" customFormat="1" x14ac:dyDescent="0.35"/>
    <row r="6278" s="13" customFormat="1" x14ac:dyDescent="0.35"/>
    <row r="6279" s="13" customFormat="1" x14ac:dyDescent="0.35"/>
    <row r="6280" s="13" customFormat="1" x14ac:dyDescent="0.35"/>
    <row r="6281" s="13" customFormat="1" x14ac:dyDescent="0.35"/>
    <row r="6282" s="13" customFormat="1" x14ac:dyDescent="0.35"/>
    <row r="6283" s="13" customFormat="1" x14ac:dyDescent="0.35"/>
    <row r="6284" s="13" customFormat="1" x14ac:dyDescent="0.35"/>
    <row r="6285" s="13" customFormat="1" x14ac:dyDescent="0.35"/>
    <row r="6286" s="13" customFormat="1" x14ac:dyDescent="0.35"/>
    <row r="6287" s="13" customFormat="1" x14ac:dyDescent="0.35"/>
    <row r="6288" s="13" customFormat="1" x14ac:dyDescent="0.35"/>
    <row r="6289" s="13" customFormat="1" x14ac:dyDescent="0.35"/>
    <row r="6290" s="13" customFormat="1" x14ac:dyDescent="0.35"/>
    <row r="6291" s="13" customFormat="1" x14ac:dyDescent="0.35"/>
    <row r="6292" s="13" customFormat="1" x14ac:dyDescent="0.35"/>
    <row r="6293" s="13" customFormat="1" x14ac:dyDescent="0.35"/>
    <row r="6294" s="13" customFormat="1" x14ac:dyDescent="0.35"/>
    <row r="6295" s="13" customFormat="1" x14ac:dyDescent="0.35"/>
    <row r="6296" s="13" customFormat="1" x14ac:dyDescent="0.35"/>
    <row r="6297" s="13" customFormat="1" x14ac:dyDescent="0.35"/>
    <row r="6298" s="13" customFormat="1" x14ac:dyDescent="0.35"/>
    <row r="6299" s="13" customFormat="1" x14ac:dyDescent="0.35"/>
    <row r="6300" s="13" customFormat="1" x14ac:dyDescent="0.35"/>
    <row r="6301" s="13" customFormat="1" x14ac:dyDescent="0.35"/>
    <row r="6302" s="13" customFormat="1" x14ac:dyDescent="0.35"/>
    <row r="6303" s="13" customFormat="1" x14ac:dyDescent="0.35"/>
    <row r="6304" s="13" customFormat="1" x14ac:dyDescent="0.35"/>
    <row r="6305" s="13" customFormat="1" x14ac:dyDescent="0.35"/>
    <row r="6306" s="13" customFormat="1" x14ac:dyDescent="0.35"/>
    <row r="6307" s="13" customFormat="1" x14ac:dyDescent="0.35"/>
    <row r="6308" s="13" customFormat="1" x14ac:dyDescent="0.35"/>
    <row r="6309" s="13" customFormat="1" x14ac:dyDescent="0.35"/>
    <row r="6310" s="13" customFormat="1" x14ac:dyDescent="0.35"/>
    <row r="6311" s="13" customFormat="1" x14ac:dyDescent="0.35"/>
    <row r="6312" s="13" customFormat="1" x14ac:dyDescent="0.35"/>
    <row r="6313" s="13" customFormat="1" x14ac:dyDescent="0.35"/>
    <row r="6314" s="13" customFormat="1" x14ac:dyDescent="0.35"/>
    <row r="6315" s="13" customFormat="1" x14ac:dyDescent="0.35"/>
    <row r="6316" s="13" customFormat="1" x14ac:dyDescent="0.35"/>
    <row r="6317" s="13" customFormat="1" x14ac:dyDescent="0.35"/>
    <row r="6318" s="13" customFormat="1" x14ac:dyDescent="0.35"/>
    <row r="6319" s="13" customFormat="1" x14ac:dyDescent="0.35"/>
    <row r="6320" s="13" customFormat="1" x14ac:dyDescent="0.35"/>
    <row r="6321" s="13" customFormat="1" x14ac:dyDescent="0.35"/>
    <row r="6322" s="13" customFormat="1" x14ac:dyDescent="0.35"/>
    <row r="6323" s="13" customFormat="1" x14ac:dyDescent="0.35"/>
    <row r="6324" s="13" customFormat="1" x14ac:dyDescent="0.35"/>
    <row r="6325" s="13" customFormat="1" x14ac:dyDescent="0.35"/>
    <row r="6326" s="13" customFormat="1" x14ac:dyDescent="0.35"/>
    <row r="6327" s="13" customFormat="1" x14ac:dyDescent="0.35"/>
    <row r="6328" s="13" customFormat="1" x14ac:dyDescent="0.35"/>
    <row r="6329" s="13" customFormat="1" x14ac:dyDescent="0.35"/>
    <row r="6330" s="13" customFormat="1" x14ac:dyDescent="0.35"/>
    <row r="6331" s="13" customFormat="1" x14ac:dyDescent="0.35"/>
    <row r="6332" s="13" customFormat="1" x14ac:dyDescent="0.35"/>
    <row r="6333" s="13" customFormat="1" x14ac:dyDescent="0.35"/>
    <row r="6334" s="13" customFormat="1" x14ac:dyDescent="0.35"/>
    <row r="6335" s="13" customFormat="1" x14ac:dyDescent="0.35"/>
    <row r="6336" s="13" customFormat="1" x14ac:dyDescent="0.35"/>
    <row r="6337" s="13" customFormat="1" x14ac:dyDescent="0.35"/>
    <row r="6338" s="13" customFormat="1" x14ac:dyDescent="0.35"/>
    <row r="6339" s="13" customFormat="1" x14ac:dyDescent="0.35"/>
    <row r="6340" s="13" customFormat="1" x14ac:dyDescent="0.35"/>
    <row r="6341" s="13" customFormat="1" x14ac:dyDescent="0.35"/>
    <row r="6342" s="13" customFormat="1" x14ac:dyDescent="0.35"/>
    <row r="6343" s="13" customFormat="1" x14ac:dyDescent="0.35"/>
    <row r="6344" s="13" customFormat="1" x14ac:dyDescent="0.35"/>
    <row r="6345" s="13" customFormat="1" x14ac:dyDescent="0.35"/>
    <row r="6346" s="13" customFormat="1" x14ac:dyDescent="0.35"/>
    <row r="6347" s="13" customFormat="1" x14ac:dyDescent="0.35"/>
    <row r="6348" s="13" customFormat="1" x14ac:dyDescent="0.35"/>
    <row r="6349" s="13" customFormat="1" x14ac:dyDescent="0.35"/>
    <row r="6350" s="13" customFormat="1" x14ac:dyDescent="0.35"/>
    <row r="6351" s="13" customFormat="1" x14ac:dyDescent="0.35"/>
    <row r="6352" s="13" customFormat="1" x14ac:dyDescent="0.35"/>
    <row r="6353" s="13" customFormat="1" x14ac:dyDescent="0.35"/>
    <row r="6354" s="13" customFormat="1" x14ac:dyDescent="0.35"/>
    <row r="6355" s="13" customFormat="1" x14ac:dyDescent="0.35"/>
    <row r="6356" s="13" customFormat="1" x14ac:dyDescent="0.35"/>
    <row r="6357" s="13" customFormat="1" x14ac:dyDescent="0.35"/>
    <row r="6358" s="13" customFormat="1" x14ac:dyDescent="0.35"/>
    <row r="6359" s="13" customFormat="1" x14ac:dyDescent="0.35"/>
    <row r="6360" s="13" customFormat="1" x14ac:dyDescent="0.35"/>
    <row r="6361" s="13" customFormat="1" x14ac:dyDescent="0.35"/>
    <row r="6362" s="13" customFormat="1" x14ac:dyDescent="0.35"/>
    <row r="6363" s="13" customFormat="1" x14ac:dyDescent="0.35"/>
    <row r="6364" s="13" customFormat="1" x14ac:dyDescent="0.35"/>
    <row r="6365" s="13" customFormat="1" x14ac:dyDescent="0.35"/>
    <row r="6366" s="13" customFormat="1" x14ac:dyDescent="0.35"/>
    <row r="6367" s="13" customFormat="1" x14ac:dyDescent="0.35"/>
    <row r="6368" s="13" customFormat="1" x14ac:dyDescent="0.35"/>
    <row r="6369" s="13" customFormat="1" x14ac:dyDescent="0.35"/>
    <row r="6370" s="13" customFormat="1" x14ac:dyDescent="0.35"/>
    <row r="6371" s="13" customFormat="1" x14ac:dyDescent="0.35"/>
    <row r="6372" s="13" customFormat="1" x14ac:dyDescent="0.35"/>
    <row r="6373" s="13" customFormat="1" x14ac:dyDescent="0.35"/>
    <row r="6374" s="13" customFormat="1" x14ac:dyDescent="0.35"/>
    <row r="6375" s="13" customFormat="1" x14ac:dyDescent="0.35"/>
    <row r="6376" s="13" customFormat="1" x14ac:dyDescent="0.35"/>
    <row r="6377" s="13" customFormat="1" x14ac:dyDescent="0.35"/>
    <row r="6378" s="13" customFormat="1" x14ac:dyDescent="0.35"/>
    <row r="6379" s="13" customFormat="1" x14ac:dyDescent="0.35"/>
    <row r="6380" s="13" customFormat="1" x14ac:dyDescent="0.35"/>
    <row r="6381" s="13" customFormat="1" x14ac:dyDescent="0.35"/>
    <row r="6382" s="13" customFormat="1" x14ac:dyDescent="0.35"/>
    <row r="6383" s="13" customFormat="1" x14ac:dyDescent="0.35"/>
    <row r="6384" s="13" customFormat="1" x14ac:dyDescent="0.35"/>
    <row r="6385" s="13" customFormat="1" x14ac:dyDescent="0.35"/>
    <row r="6386" s="13" customFormat="1" x14ac:dyDescent="0.35"/>
    <row r="6387" s="13" customFormat="1" x14ac:dyDescent="0.35"/>
    <row r="6388" s="13" customFormat="1" x14ac:dyDescent="0.35"/>
    <row r="6389" s="13" customFormat="1" x14ac:dyDescent="0.35"/>
    <row r="6390" s="13" customFormat="1" x14ac:dyDescent="0.35"/>
    <row r="6391" s="13" customFormat="1" x14ac:dyDescent="0.35"/>
    <row r="6392" s="13" customFormat="1" x14ac:dyDescent="0.35"/>
    <row r="6393" s="13" customFormat="1" x14ac:dyDescent="0.35"/>
    <row r="6394" s="13" customFormat="1" x14ac:dyDescent="0.35"/>
    <row r="6395" s="13" customFormat="1" x14ac:dyDescent="0.35"/>
    <row r="6396" s="13" customFormat="1" x14ac:dyDescent="0.35"/>
    <row r="6397" s="13" customFormat="1" x14ac:dyDescent="0.35"/>
    <row r="6398" s="13" customFormat="1" x14ac:dyDescent="0.35"/>
    <row r="6399" s="13" customFormat="1" x14ac:dyDescent="0.35"/>
    <row r="6400" s="13" customFormat="1" x14ac:dyDescent="0.35"/>
    <row r="6401" s="13" customFormat="1" x14ac:dyDescent="0.35"/>
    <row r="6402" s="13" customFormat="1" x14ac:dyDescent="0.35"/>
    <row r="6403" s="13" customFormat="1" x14ac:dyDescent="0.35"/>
    <row r="6404" s="13" customFormat="1" x14ac:dyDescent="0.35"/>
    <row r="6405" s="13" customFormat="1" x14ac:dyDescent="0.35"/>
    <row r="6406" s="13" customFormat="1" x14ac:dyDescent="0.35"/>
    <row r="6407" s="13" customFormat="1" x14ac:dyDescent="0.35"/>
    <row r="6408" s="13" customFormat="1" x14ac:dyDescent="0.35"/>
    <row r="6409" s="13" customFormat="1" x14ac:dyDescent="0.35"/>
    <row r="6410" s="13" customFormat="1" x14ac:dyDescent="0.35"/>
    <row r="6411" s="13" customFormat="1" x14ac:dyDescent="0.35"/>
    <row r="6412" s="13" customFormat="1" x14ac:dyDescent="0.35"/>
    <row r="6413" s="13" customFormat="1" x14ac:dyDescent="0.35"/>
    <row r="6414" s="13" customFormat="1" x14ac:dyDescent="0.35"/>
    <row r="6415" s="13" customFormat="1" x14ac:dyDescent="0.35"/>
    <row r="6416" s="13" customFormat="1" x14ac:dyDescent="0.35"/>
    <row r="6417" s="13" customFormat="1" x14ac:dyDescent="0.35"/>
    <row r="6418" s="13" customFormat="1" x14ac:dyDescent="0.35"/>
    <row r="6419" s="13" customFormat="1" x14ac:dyDescent="0.35"/>
    <row r="6420" s="13" customFormat="1" x14ac:dyDescent="0.35"/>
    <row r="6421" s="13" customFormat="1" x14ac:dyDescent="0.35"/>
    <row r="6422" s="13" customFormat="1" x14ac:dyDescent="0.35"/>
    <row r="6423" s="13" customFormat="1" x14ac:dyDescent="0.35"/>
    <row r="6424" s="13" customFormat="1" x14ac:dyDescent="0.35"/>
    <row r="6425" s="13" customFormat="1" x14ac:dyDescent="0.35"/>
    <row r="6426" s="13" customFormat="1" x14ac:dyDescent="0.35"/>
    <row r="6427" s="13" customFormat="1" x14ac:dyDescent="0.35"/>
    <row r="6428" s="13" customFormat="1" x14ac:dyDescent="0.35"/>
    <row r="6429" s="13" customFormat="1" x14ac:dyDescent="0.35"/>
    <row r="6430" s="13" customFormat="1" x14ac:dyDescent="0.35"/>
    <row r="6431" s="13" customFormat="1" x14ac:dyDescent="0.35"/>
    <row r="6432" s="13" customFormat="1" x14ac:dyDescent="0.35"/>
    <row r="6433" s="13" customFormat="1" x14ac:dyDescent="0.35"/>
    <row r="6434" s="13" customFormat="1" x14ac:dyDescent="0.35"/>
    <row r="6435" s="13" customFormat="1" x14ac:dyDescent="0.35"/>
    <row r="6436" s="13" customFormat="1" x14ac:dyDescent="0.35"/>
    <row r="6437" s="13" customFormat="1" x14ac:dyDescent="0.35"/>
    <row r="6438" s="13" customFormat="1" x14ac:dyDescent="0.35"/>
    <row r="6439" s="13" customFormat="1" x14ac:dyDescent="0.35"/>
    <row r="6440" s="13" customFormat="1" x14ac:dyDescent="0.35"/>
    <row r="6441" s="13" customFormat="1" x14ac:dyDescent="0.35"/>
    <row r="6442" s="13" customFormat="1" x14ac:dyDescent="0.35"/>
    <row r="6443" s="13" customFormat="1" x14ac:dyDescent="0.35"/>
    <row r="6444" s="13" customFormat="1" x14ac:dyDescent="0.35"/>
    <row r="6445" s="13" customFormat="1" x14ac:dyDescent="0.35"/>
    <row r="6446" s="13" customFormat="1" x14ac:dyDescent="0.35"/>
    <row r="6447" s="13" customFormat="1" x14ac:dyDescent="0.35"/>
    <row r="6448" s="13" customFormat="1" x14ac:dyDescent="0.35"/>
    <row r="6449" s="13" customFormat="1" x14ac:dyDescent="0.35"/>
    <row r="6450" s="13" customFormat="1" x14ac:dyDescent="0.35"/>
    <row r="6451" s="13" customFormat="1" x14ac:dyDescent="0.35"/>
    <row r="6452" s="13" customFormat="1" x14ac:dyDescent="0.35"/>
    <row r="6453" s="13" customFormat="1" x14ac:dyDescent="0.35"/>
    <row r="6454" s="13" customFormat="1" x14ac:dyDescent="0.35"/>
    <row r="6455" s="13" customFormat="1" x14ac:dyDescent="0.35"/>
    <row r="6456" s="13" customFormat="1" x14ac:dyDescent="0.35"/>
    <row r="6457" s="13" customFormat="1" x14ac:dyDescent="0.35"/>
    <row r="6458" s="13" customFormat="1" x14ac:dyDescent="0.35"/>
    <row r="6459" s="13" customFormat="1" x14ac:dyDescent="0.35"/>
    <row r="6460" s="13" customFormat="1" x14ac:dyDescent="0.35"/>
    <row r="6461" s="13" customFormat="1" x14ac:dyDescent="0.35"/>
    <row r="6462" s="13" customFormat="1" x14ac:dyDescent="0.35"/>
    <row r="6463" s="13" customFormat="1" x14ac:dyDescent="0.35"/>
    <row r="6464" s="13" customFormat="1" x14ac:dyDescent="0.35"/>
    <row r="6465" s="13" customFormat="1" x14ac:dyDescent="0.35"/>
    <row r="6466" s="13" customFormat="1" x14ac:dyDescent="0.35"/>
    <row r="6467" s="13" customFormat="1" x14ac:dyDescent="0.35"/>
    <row r="6468" s="13" customFormat="1" x14ac:dyDescent="0.35"/>
    <row r="6469" s="13" customFormat="1" x14ac:dyDescent="0.35"/>
    <row r="6470" s="13" customFormat="1" x14ac:dyDescent="0.35"/>
    <row r="6471" s="13" customFormat="1" x14ac:dyDescent="0.35"/>
    <row r="6472" s="13" customFormat="1" x14ac:dyDescent="0.35"/>
    <row r="6473" s="13" customFormat="1" x14ac:dyDescent="0.35"/>
    <row r="6474" s="13" customFormat="1" x14ac:dyDescent="0.35"/>
    <row r="6475" s="13" customFormat="1" x14ac:dyDescent="0.35"/>
    <row r="6476" s="13" customFormat="1" x14ac:dyDescent="0.35"/>
    <row r="6477" s="13" customFormat="1" x14ac:dyDescent="0.35"/>
    <row r="6478" s="13" customFormat="1" x14ac:dyDescent="0.35"/>
    <row r="6479" s="13" customFormat="1" x14ac:dyDescent="0.35"/>
    <row r="6480" s="13" customFormat="1" x14ac:dyDescent="0.35"/>
    <row r="6481" s="13" customFormat="1" x14ac:dyDescent="0.35"/>
    <row r="6482" s="13" customFormat="1" x14ac:dyDescent="0.35"/>
    <row r="6483" s="13" customFormat="1" x14ac:dyDescent="0.35"/>
    <row r="6484" s="13" customFormat="1" x14ac:dyDescent="0.35"/>
    <row r="6485" s="13" customFormat="1" x14ac:dyDescent="0.35"/>
    <row r="6486" s="13" customFormat="1" x14ac:dyDescent="0.35"/>
    <row r="6487" s="13" customFormat="1" x14ac:dyDescent="0.35"/>
    <row r="6488" s="13" customFormat="1" x14ac:dyDescent="0.35"/>
    <row r="6489" s="13" customFormat="1" x14ac:dyDescent="0.35"/>
    <row r="6490" s="13" customFormat="1" x14ac:dyDescent="0.35"/>
    <row r="6491" s="13" customFormat="1" x14ac:dyDescent="0.35"/>
    <row r="6492" s="13" customFormat="1" x14ac:dyDescent="0.35"/>
    <row r="6493" s="13" customFormat="1" x14ac:dyDescent="0.35"/>
    <row r="6494" s="13" customFormat="1" x14ac:dyDescent="0.35"/>
    <row r="6495" s="13" customFormat="1" x14ac:dyDescent="0.35"/>
    <row r="6496" s="13" customFormat="1" x14ac:dyDescent="0.35"/>
    <row r="6497" s="13" customFormat="1" x14ac:dyDescent="0.35"/>
    <row r="6498" s="13" customFormat="1" x14ac:dyDescent="0.35"/>
    <row r="6499" s="13" customFormat="1" x14ac:dyDescent="0.35"/>
    <row r="6500" s="13" customFormat="1" x14ac:dyDescent="0.35"/>
    <row r="6501" s="13" customFormat="1" x14ac:dyDescent="0.35"/>
    <row r="6502" s="13" customFormat="1" x14ac:dyDescent="0.35"/>
    <row r="6503" s="13" customFormat="1" x14ac:dyDescent="0.35"/>
    <row r="6504" s="13" customFormat="1" x14ac:dyDescent="0.35"/>
    <row r="6505" s="13" customFormat="1" x14ac:dyDescent="0.35"/>
    <row r="6506" s="13" customFormat="1" x14ac:dyDescent="0.35"/>
    <row r="6507" s="13" customFormat="1" x14ac:dyDescent="0.35"/>
    <row r="6508" s="13" customFormat="1" x14ac:dyDescent="0.35"/>
    <row r="6509" s="13" customFormat="1" x14ac:dyDescent="0.35"/>
    <row r="6510" s="13" customFormat="1" x14ac:dyDescent="0.35"/>
    <row r="6511" s="13" customFormat="1" x14ac:dyDescent="0.35"/>
    <row r="6512" s="13" customFormat="1" x14ac:dyDescent="0.35"/>
    <row r="6513" s="13" customFormat="1" x14ac:dyDescent="0.35"/>
    <row r="6514" s="13" customFormat="1" x14ac:dyDescent="0.35"/>
    <row r="6515" s="13" customFormat="1" x14ac:dyDescent="0.35"/>
    <row r="6516" s="13" customFormat="1" x14ac:dyDescent="0.35"/>
    <row r="6517" s="13" customFormat="1" x14ac:dyDescent="0.35"/>
    <row r="6518" s="13" customFormat="1" x14ac:dyDescent="0.35"/>
    <row r="6519" s="13" customFormat="1" x14ac:dyDescent="0.35"/>
    <row r="6520" s="13" customFormat="1" x14ac:dyDescent="0.35"/>
    <row r="6521" s="13" customFormat="1" x14ac:dyDescent="0.35"/>
    <row r="6522" s="13" customFormat="1" x14ac:dyDescent="0.35"/>
    <row r="6523" s="13" customFormat="1" x14ac:dyDescent="0.35"/>
    <row r="6524" s="13" customFormat="1" x14ac:dyDescent="0.35"/>
    <row r="6525" s="13" customFormat="1" x14ac:dyDescent="0.35"/>
    <row r="6526" s="13" customFormat="1" x14ac:dyDescent="0.35"/>
    <row r="6527" s="13" customFormat="1" x14ac:dyDescent="0.35"/>
    <row r="6528" s="13" customFormat="1" x14ac:dyDescent="0.35"/>
    <row r="6529" s="13" customFormat="1" x14ac:dyDescent="0.35"/>
    <row r="6530" s="13" customFormat="1" x14ac:dyDescent="0.35"/>
    <row r="6531" s="13" customFormat="1" x14ac:dyDescent="0.35"/>
    <row r="6532" s="13" customFormat="1" x14ac:dyDescent="0.35"/>
    <row r="6533" s="13" customFormat="1" x14ac:dyDescent="0.35"/>
    <row r="6534" s="13" customFormat="1" x14ac:dyDescent="0.35"/>
    <row r="6535" s="13" customFormat="1" x14ac:dyDescent="0.35"/>
    <row r="6536" s="13" customFormat="1" x14ac:dyDescent="0.35"/>
    <row r="6537" s="13" customFormat="1" x14ac:dyDescent="0.35"/>
    <row r="6538" s="13" customFormat="1" x14ac:dyDescent="0.35"/>
    <row r="6539" s="13" customFormat="1" x14ac:dyDescent="0.35"/>
    <row r="6540" s="13" customFormat="1" x14ac:dyDescent="0.35"/>
    <row r="6541" s="13" customFormat="1" x14ac:dyDescent="0.35"/>
    <row r="6542" s="13" customFormat="1" x14ac:dyDescent="0.35"/>
    <row r="6543" s="13" customFormat="1" x14ac:dyDescent="0.35"/>
    <row r="6544" s="13" customFormat="1" x14ac:dyDescent="0.35"/>
    <row r="6545" s="13" customFormat="1" x14ac:dyDescent="0.35"/>
    <row r="6546" s="13" customFormat="1" x14ac:dyDescent="0.35"/>
    <row r="6547" s="13" customFormat="1" x14ac:dyDescent="0.35"/>
    <row r="6548" s="13" customFormat="1" x14ac:dyDescent="0.35"/>
    <row r="6549" s="13" customFormat="1" x14ac:dyDescent="0.35"/>
    <row r="6550" s="13" customFormat="1" x14ac:dyDescent="0.35"/>
    <row r="6551" s="13" customFormat="1" x14ac:dyDescent="0.35"/>
    <row r="6552" s="13" customFormat="1" x14ac:dyDescent="0.35"/>
    <row r="6553" s="13" customFormat="1" x14ac:dyDescent="0.35"/>
    <row r="6554" s="13" customFormat="1" x14ac:dyDescent="0.35"/>
    <row r="6555" s="13" customFormat="1" x14ac:dyDescent="0.35"/>
    <row r="6556" s="13" customFormat="1" x14ac:dyDescent="0.35"/>
    <row r="6557" s="13" customFormat="1" x14ac:dyDescent="0.35"/>
    <row r="6558" s="13" customFormat="1" x14ac:dyDescent="0.35"/>
    <row r="6559" s="13" customFormat="1" x14ac:dyDescent="0.35"/>
    <row r="6560" s="13" customFormat="1" x14ac:dyDescent="0.35"/>
    <row r="6561" s="13" customFormat="1" x14ac:dyDescent="0.35"/>
    <row r="6562" s="13" customFormat="1" x14ac:dyDescent="0.35"/>
    <row r="6563" s="13" customFormat="1" x14ac:dyDescent="0.35"/>
    <row r="6564" s="13" customFormat="1" x14ac:dyDescent="0.35"/>
    <row r="6565" s="13" customFormat="1" x14ac:dyDescent="0.35"/>
    <row r="6566" s="13" customFormat="1" x14ac:dyDescent="0.35"/>
    <row r="6567" s="13" customFormat="1" x14ac:dyDescent="0.35"/>
    <row r="6568" s="13" customFormat="1" x14ac:dyDescent="0.35"/>
    <row r="6569" s="13" customFormat="1" x14ac:dyDescent="0.35"/>
    <row r="6570" s="13" customFormat="1" x14ac:dyDescent="0.35"/>
    <row r="6571" s="13" customFormat="1" x14ac:dyDescent="0.35"/>
    <row r="6572" s="13" customFormat="1" x14ac:dyDescent="0.35"/>
    <row r="6573" s="13" customFormat="1" x14ac:dyDescent="0.35"/>
    <row r="6574" s="13" customFormat="1" x14ac:dyDescent="0.35"/>
    <row r="6575" s="13" customFormat="1" x14ac:dyDescent="0.35"/>
    <row r="6576" s="13" customFormat="1" x14ac:dyDescent="0.35"/>
    <row r="6577" s="13" customFormat="1" x14ac:dyDescent="0.35"/>
    <row r="6578" s="13" customFormat="1" x14ac:dyDescent="0.35"/>
    <row r="6579" s="13" customFormat="1" x14ac:dyDescent="0.35"/>
    <row r="6580" s="13" customFormat="1" x14ac:dyDescent="0.35"/>
    <row r="6581" s="13" customFormat="1" x14ac:dyDescent="0.35"/>
    <row r="6582" s="13" customFormat="1" x14ac:dyDescent="0.35"/>
    <row r="6583" s="13" customFormat="1" x14ac:dyDescent="0.35"/>
    <row r="6584" s="13" customFormat="1" x14ac:dyDescent="0.35"/>
    <row r="6585" s="13" customFormat="1" x14ac:dyDescent="0.35"/>
    <row r="6586" s="13" customFormat="1" x14ac:dyDescent="0.35"/>
    <row r="6587" s="13" customFormat="1" x14ac:dyDescent="0.35"/>
    <row r="6588" s="13" customFormat="1" x14ac:dyDescent="0.35"/>
    <row r="6589" s="13" customFormat="1" x14ac:dyDescent="0.35"/>
    <row r="6590" s="13" customFormat="1" x14ac:dyDescent="0.35"/>
    <row r="6591" s="13" customFormat="1" x14ac:dyDescent="0.35"/>
    <row r="6592" s="13" customFormat="1" x14ac:dyDescent="0.35"/>
    <row r="6593" s="13" customFormat="1" x14ac:dyDescent="0.35"/>
    <row r="6594" s="13" customFormat="1" x14ac:dyDescent="0.35"/>
    <row r="6595" s="13" customFormat="1" x14ac:dyDescent="0.35"/>
    <row r="6596" s="13" customFormat="1" x14ac:dyDescent="0.35"/>
    <row r="6597" s="13" customFormat="1" x14ac:dyDescent="0.35"/>
    <row r="6598" s="13" customFormat="1" x14ac:dyDescent="0.35"/>
    <row r="6599" s="13" customFormat="1" x14ac:dyDescent="0.35"/>
    <row r="6600" s="13" customFormat="1" x14ac:dyDescent="0.35"/>
    <row r="6601" s="13" customFormat="1" x14ac:dyDescent="0.35"/>
    <row r="6602" s="13" customFormat="1" x14ac:dyDescent="0.35"/>
    <row r="6603" s="13" customFormat="1" x14ac:dyDescent="0.35"/>
    <row r="6604" s="13" customFormat="1" x14ac:dyDescent="0.35"/>
    <row r="6605" s="13" customFormat="1" x14ac:dyDescent="0.35"/>
    <row r="6606" s="13" customFormat="1" x14ac:dyDescent="0.35"/>
    <row r="6607" s="13" customFormat="1" x14ac:dyDescent="0.35"/>
    <row r="6608" s="13" customFormat="1" x14ac:dyDescent="0.35"/>
    <row r="6609" s="13" customFormat="1" x14ac:dyDescent="0.35"/>
    <row r="6610" s="13" customFormat="1" x14ac:dyDescent="0.35"/>
    <row r="6611" s="13" customFormat="1" x14ac:dyDescent="0.35"/>
    <row r="6612" s="13" customFormat="1" x14ac:dyDescent="0.35"/>
    <row r="6613" s="13" customFormat="1" x14ac:dyDescent="0.35"/>
    <row r="6614" s="13" customFormat="1" x14ac:dyDescent="0.35"/>
    <row r="6615" s="13" customFormat="1" x14ac:dyDescent="0.35"/>
    <row r="6616" s="13" customFormat="1" x14ac:dyDescent="0.35"/>
    <row r="6617" s="13" customFormat="1" x14ac:dyDescent="0.35"/>
    <row r="6618" s="13" customFormat="1" x14ac:dyDescent="0.35"/>
    <row r="6619" s="13" customFormat="1" x14ac:dyDescent="0.35"/>
    <row r="6620" s="13" customFormat="1" x14ac:dyDescent="0.35"/>
    <row r="6621" s="13" customFormat="1" x14ac:dyDescent="0.35"/>
    <row r="6622" s="13" customFormat="1" x14ac:dyDescent="0.35"/>
    <row r="6623" s="13" customFormat="1" x14ac:dyDescent="0.35"/>
    <row r="6624" s="13" customFormat="1" x14ac:dyDescent="0.35"/>
    <row r="6625" s="13" customFormat="1" x14ac:dyDescent="0.35"/>
    <row r="6626" s="13" customFormat="1" x14ac:dyDescent="0.35"/>
    <row r="6627" s="13" customFormat="1" x14ac:dyDescent="0.35"/>
    <row r="6628" s="13" customFormat="1" x14ac:dyDescent="0.35"/>
    <row r="6629" s="13" customFormat="1" x14ac:dyDescent="0.35"/>
    <row r="6630" s="13" customFormat="1" x14ac:dyDescent="0.35"/>
    <row r="6631" s="13" customFormat="1" x14ac:dyDescent="0.35"/>
    <row r="6632" s="13" customFormat="1" x14ac:dyDescent="0.35"/>
    <row r="6633" s="13" customFormat="1" x14ac:dyDescent="0.35"/>
    <row r="6634" s="13" customFormat="1" x14ac:dyDescent="0.35"/>
    <row r="6635" s="13" customFormat="1" x14ac:dyDescent="0.35"/>
    <row r="6636" s="13" customFormat="1" x14ac:dyDescent="0.35"/>
    <row r="6637" s="13" customFormat="1" x14ac:dyDescent="0.35"/>
    <row r="6638" s="13" customFormat="1" x14ac:dyDescent="0.35"/>
    <row r="6639" s="13" customFormat="1" x14ac:dyDescent="0.35"/>
    <row r="6640" s="13" customFormat="1" x14ac:dyDescent="0.35"/>
    <row r="6641" s="13" customFormat="1" x14ac:dyDescent="0.35"/>
    <row r="6642" s="13" customFormat="1" x14ac:dyDescent="0.35"/>
    <row r="6643" s="13" customFormat="1" x14ac:dyDescent="0.35"/>
    <row r="6644" s="13" customFormat="1" x14ac:dyDescent="0.35"/>
    <row r="6645" s="13" customFormat="1" x14ac:dyDescent="0.35"/>
    <row r="6646" s="13" customFormat="1" x14ac:dyDescent="0.35"/>
    <row r="6647" s="13" customFormat="1" x14ac:dyDescent="0.35"/>
    <row r="6648" s="13" customFormat="1" x14ac:dyDescent="0.35"/>
    <row r="6649" s="13" customFormat="1" x14ac:dyDescent="0.35"/>
    <row r="6650" s="13" customFormat="1" x14ac:dyDescent="0.35"/>
    <row r="6651" s="13" customFormat="1" x14ac:dyDescent="0.35"/>
    <row r="6652" s="13" customFormat="1" x14ac:dyDescent="0.35"/>
    <row r="6653" s="13" customFormat="1" x14ac:dyDescent="0.35"/>
    <row r="6654" s="13" customFormat="1" x14ac:dyDescent="0.35"/>
    <row r="6655" s="13" customFormat="1" x14ac:dyDescent="0.35"/>
    <row r="6656" s="13" customFormat="1" x14ac:dyDescent="0.35"/>
    <row r="6657" s="13" customFormat="1" x14ac:dyDescent="0.35"/>
    <row r="6658" s="13" customFormat="1" x14ac:dyDescent="0.35"/>
    <row r="6659" s="13" customFormat="1" x14ac:dyDescent="0.35"/>
    <row r="6660" s="13" customFormat="1" x14ac:dyDescent="0.35"/>
    <row r="6661" s="13" customFormat="1" x14ac:dyDescent="0.35"/>
    <row r="6662" s="13" customFormat="1" x14ac:dyDescent="0.35"/>
    <row r="6663" s="13" customFormat="1" x14ac:dyDescent="0.35"/>
    <row r="6664" s="13" customFormat="1" x14ac:dyDescent="0.35"/>
    <row r="6665" s="13" customFormat="1" x14ac:dyDescent="0.35"/>
    <row r="6666" s="13" customFormat="1" x14ac:dyDescent="0.35"/>
    <row r="6667" s="13" customFormat="1" x14ac:dyDescent="0.35"/>
    <row r="6668" s="13" customFormat="1" x14ac:dyDescent="0.35"/>
    <row r="6669" s="13" customFormat="1" x14ac:dyDescent="0.35"/>
    <row r="6670" s="13" customFormat="1" x14ac:dyDescent="0.35"/>
    <row r="6671" s="13" customFormat="1" x14ac:dyDescent="0.35"/>
    <row r="6672" s="13" customFormat="1" x14ac:dyDescent="0.35"/>
    <row r="6673" s="13" customFormat="1" x14ac:dyDescent="0.35"/>
    <row r="6674" s="13" customFormat="1" x14ac:dyDescent="0.35"/>
    <row r="6675" s="13" customFormat="1" x14ac:dyDescent="0.35"/>
    <row r="6676" s="13" customFormat="1" x14ac:dyDescent="0.35"/>
    <row r="6677" s="13" customFormat="1" x14ac:dyDescent="0.35"/>
    <row r="6678" s="13" customFormat="1" x14ac:dyDescent="0.35"/>
    <row r="6679" s="13" customFormat="1" x14ac:dyDescent="0.35"/>
    <row r="6680" s="13" customFormat="1" x14ac:dyDescent="0.35"/>
    <row r="6681" s="13" customFormat="1" x14ac:dyDescent="0.35"/>
    <row r="6682" s="13" customFormat="1" x14ac:dyDescent="0.35"/>
    <row r="6683" s="13" customFormat="1" x14ac:dyDescent="0.35"/>
    <row r="6684" s="13" customFormat="1" x14ac:dyDescent="0.35"/>
    <row r="6685" s="13" customFormat="1" x14ac:dyDescent="0.35"/>
    <row r="6686" s="13" customFormat="1" x14ac:dyDescent="0.35"/>
    <row r="6687" s="13" customFormat="1" x14ac:dyDescent="0.35"/>
    <row r="6688" s="13" customFormat="1" x14ac:dyDescent="0.35"/>
    <row r="6689" s="13" customFormat="1" x14ac:dyDescent="0.35"/>
    <row r="6690" s="13" customFormat="1" x14ac:dyDescent="0.35"/>
    <row r="6691" s="13" customFormat="1" x14ac:dyDescent="0.35"/>
    <row r="6692" s="13" customFormat="1" x14ac:dyDescent="0.35"/>
    <row r="6693" s="13" customFormat="1" x14ac:dyDescent="0.35"/>
    <row r="6694" s="13" customFormat="1" x14ac:dyDescent="0.35"/>
    <row r="6695" s="13" customFormat="1" x14ac:dyDescent="0.35"/>
    <row r="6696" s="13" customFormat="1" x14ac:dyDescent="0.35"/>
    <row r="6697" s="13" customFormat="1" x14ac:dyDescent="0.35"/>
    <row r="6698" s="13" customFormat="1" x14ac:dyDescent="0.35"/>
    <row r="6699" s="13" customFormat="1" x14ac:dyDescent="0.35"/>
    <row r="6700" s="13" customFormat="1" x14ac:dyDescent="0.35"/>
    <row r="6701" s="13" customFormat="1" x14ac:dyDescent="0.35"/>
    <row r="6702" s="13" customFormat="1" x14ac:dyDescent="0.35"/>
    <row r="6703" s="13" customFormat="1" x14ac:dyDescent="0.35"/>
    <row r="6704" s="13" customFormat="1" x14ac:dyDescent="0.35"/>
    <row r="6705" s="13" customFormat="1" x14ac:dyDescent="0.35"/>
    <row r="6706" s="13" customFormat="1" x14ac:dyDescent="0.35"/>
    <row r="6707" s="13" customFormat="1" x14ac:dyDescent="0.35"/>
    <row r="6708" s="13" customFormat="1" x14ac:dyDescent="0.35"/>
    <row r="6709" s="13" customFormat="1" x14ac:dyDescent="0.35"/>
    <row r="6710" s="13" customFormat="1" x14ac:dyDescent="0.35"/>
    <row r="6711" s="13" customFormat="1" x14ac:dyDescent="0.35"/>
    <row r="6712" s="13" customFormat="1" x14ac:dyDescent="0.35"/>
    <row r="6713" s="13" customFormat="1" x14ac:dyDescent="0.35"/>
    <row r="6714" s="13" customFormat="1" x14ac:dyDescent="0.35"/>
    <row r="6715" s="13" customFormat="1" x14ac:dyDescent="0.35"/>
    <row r="6716" s="13" customFormat="1" x14ac:dyDescent="0.35"/>
    <row r="6717" s="13" customFormat="1" x14ac:dyDescent="0.35"/>
    <row r="6718" s="13" customFormat="1" x14ac:dyDescent="0.35"/>
    <row r="6719" s="13" customFormat="1" x14ac:dyDescent="0.35"/>
    <row r="6720" s="13" customFormat="1" x14ac:dyDescent="0.35"/>
    <row r="6721" s="13" customFormat="1" x14ac:dyDescent="0.35"/>
    <row r="6722" s="13" customFormat="1" x14ac:dyDescent="0.35"/>
    <row r="6723" s="13" customFormat="1" x14ac:dyDescent="0.35"/>
    <row r="6724" s="13" customFormat="1" x14ac:dyDescent="0.35"/>
    <row r="6725" s="13" customFormat="1" x14ac:dyDescent="0.35"/>
    <row r="6726" s="13" customFormat="1" x14ac:dyDescent="0.35"/>
    <row r="6727" s="13" customFormat="1" x14ac:dyDescent="0.35"/>
    <row r="6728" s="13" customFormat="1" x14ac:dyDescent="0.35"/>
    <row r="6729" s="13" customFormat="1" x14ac:dyDescent="0.35"/>
    <row r="6730" s="13" customFormat="1" x14ac:dyDescent="0.35"/>
    <row r="6731" s="13" customFormat="1" x14ac:dyDescent="0.35"/>
    <row r="6732" s="13" customFormat="1" x14ac:dyDescent="0.35"/>
    <row r="6733" s="13" customFormat="1" x14ac:dyDescent="0.35"/>
    <row r="6734" s="13" customFormat="1" x14ac:dyDescent="0.35"/>
    <row r="6735" s="13" customFormat="1" x14ac:dyDescent="0.35"/>
    <row r="6736" s="13" customFormat="1" x14ac:dyDescent="0.35"/>
    <row r="6737" s="13" customFormat="1" x14ac:dyDescent="0.35"/>
    <row r="6738" s="13" customFormat="1" x14ac:dyDescent="0.35"/>
    <row r="6739" s="13" customFormat="1" x14ac:dyDescent="0.35"/>
    <row r="6740" s="13" customFormat="1" x14ac:dyDescent="0.35"/>
    <row r="6741" s="13" customFormat="1" x14ac:dyDescent="0.35"/>
    <row r="6742" s="13" customFormat="1" x14ac:dyDescent="0.35"/>
    <row r="6743" s="13" customFormat="1" x14ac:dyDescent="0.35"/>
    <row r="6744" s="13" customFormat="1" x14ac:dyDescent="0.35"/>
    <row r="6745" s="13" customFormat="1" x14ac:dyDescent="0.35"/>
    <row r="6746" s="13" customFormat="1" x14ac:dyDescent="0.35"/>
    <row r="6747" s="13" customFormat="1" x14ac:dyDescent="0.35"/>
    <row r="6748" s="13" customFormat="1" x14ac:dyDescent="0.35"/>
    <row r="6749" s="13" customFormat="1" x14ac:dyDescent="0.35"/>
    <row r="6750" s="13" customFormat="1" x14ac:dyDescent="0.35"/>
    <row r="6751" s="13" customFormat="1" x14ac:dyDescent="0.35"/>
    <row r="6752" s="13" customFormat="1" x14ac:dyDescent="0.35"/>
    <row r="6753" s="13" customFormat="1" x14ac:dyDescent="0.35"/>
    <row r="6754" s="13" customFormat="1" x14ac:dyDescent="0.35"/>
    <row r="6755" s="13" customFormat="1" x14ac:dyDescent="0.35"/>
    <row r="6756" s="13" customFormat="1" x14ac:dyDescent="0.35"/>
    <row r="6757" s="13" customFormat="1" x14ac:dyDescent="0.35"/>
    <row r="6758" s="13" customFormat="1" x14ac:dyDescent="0.35"/>
    <row r="6759" s="13" customFormat="1" x14ac:dyDescent="0.35"/>
    <row r="6760" s="13" customFormat="1" x14ac:dyDescent="0.35"/>
    <row r="6761" s="13" customFormat="1" x14ac:dyDescent="0.35"/>
    <row r="6762" s="13" customFormat="1" x14ac:dyDescent="0.35"/>
    <row r="6763" s="13" customFormat="1" x14ac:dyDescent="0.35"/>
    <row r="6764" s="13" customFormat="1" x14ac:dyDescent="0.35"/>
    <row r="6765" s="13" customFormat="1" x14ac:dyDescent="0.35"/>
    <row r="6766" s="13" customFormat="1" x14ac:dyDescent="0.35"/>
    <row r="6767" s="13" customFormat="1" x14ac:dyDescent="0.35"/>
    <row r="6768" s="13" customFormat="1" x14ac:dyDescent="0.35"/>
    <row r="6769" s="13" customFormat="1" x14ac:dyDescent="0.35"/>
    <row r="6770" s="13" customFormat="1" x14ac:dyDescent="0.35"/>
    <row r="6771" s="13" customFormat="1" x14ac:dyDescent="0.35"/>
    <row r="6772" s="13" customFormat="1" x14ac:dyDescent="0.35"/>
    <row r="6773" s="13" customFormat="1" x14ac:dyDescent="0.35"/>
    <row r="6774" s="13" customFormat="1" x14ac:dyDescent="0.35"/>
    <row r="6775" s="13" customFormat="1" x14ac:dyDescent="0.35"/>
    <row r="6776" s="13" customFormat="1" x14ac:dyDescent="0.35"/>
    <row r="6777" s="13" customFormat="1" x14ac:dyDescent="0.35"/>
    <row r="6778" s="13" customFormat="1" x14ac:dyDescent="0.35"/>
    <row r="6779" s="13" customFormat="1" x14ac:dyDescent="0.35"/>
    <row r="6780" s="13" customFormat="1" x14ac:dyDescent="0.35"/>
    <row r="6781" s="13" customFormat="1" x14ac:dyDescent="0.35"/>
    <row r="6782" s="13" customFormat="1" x14ac:dyDescent="0.35"/>
    <row r="6783" s="13" customFormat="1" x14ac:dyDescent="0.35"/>
    <row r="6784" s="13" customFormat="1" x14ac:dyDescent="0.35"/>
    <row r="6785" s="13" customFormat="1" x14ac:dyDescent="0.35"/>
    <row r="6786" s="13" customFormat="1" x14ac:dyDescent="0.35"/>
    <row r="6787" s="13" customFormat="1" x14ac:dyDescent="0.35"/>
    <row r="6788" s="13" customFormat="1" x14ac:dyDescent="0.35"/>
    <row r="6789" s="13" customFormat="1" x14ac:dyDescent="0.35"/>
    <row r="6790" s="13" customFormat="1" x14ac:dyDescent="0.35"/>
    <row r="6791" s="13" customFormat="1" x14ac:dyDescent="0.35"/>
    <row r="6792" s="13" customFormat="1" x14ac:dyDescent="0.35"/>
    <row r="6793" s="13" customFormat="1" x14ac:dyDescent="0.35"/>
    <row r="6794" s="13" customFormat="1" x14ac:dyDescent="0.35"/>
    <row r="6795" s="13" customFormat="1" x14ac:dyDescent="0.35"/>
    <row r="6796" s="13" customFormat="1" x14ac:dyDescent="0.35"/>
    <row r="6797" s="13" customFormat="1" x14ac:dyDescent="0.35"/>
    <row r="6798" s="13" customFormat="1" x14ac:dyDescent="0.35"/>
    <row r="6799" s="13" customFormat="1" x14ac:dyDescent="0.35"/>
    <row r="6800" s="13" customFormat="1" x14ac:dyDescent="0.35"/>
    <row r="6801" s="13" customFormat="1" x14ac:dyDescent="0.35"/>
    <row r="6802" s="13" customFormat="1" x14ac:dyDescent="0.35"/>
    <row r="6803" s="13" customFormat="1" x14ac:dyDescent="0.35"/>
    <row r="6804" s="13" customFormat="1" x14ac:dyDescent="0.35"/>
    <row r="6805" s="13" customFormat="1" x14ac:dyDescent="0.35"/>
    <row r="6806" s="13" customFormat="1" x14ac:dyDescent="0.35"/>
    <row r="6807" s="13" customFormat="1" x14ac:dyDescent="0.35"/>
    <row r="6808" s="13" customFormat="1" x14ac:dyDescent="0.35"/>
    <row r="6809" s="13" customFormat="1" x14ac:dyDescent="0.35"/>
    <row r="6810" s="13" customFormat="1" x14ac:dyDescent="0.35"/>
    <row r="6811" s="13" customFormat="1" x14ac:dyDescent="0.35"/>
    <row r="6812" s="13" customFormat="1" x14ac:dyDescent="0.35"/>
    <row r="6813" s="13" customFormat="1" x14ac:dyDescent="0.35"/>
    <row r="6814" s="13" customFormat="1" x14ac:dyDescent="0.35"/>
    <row r="6815" s="13" customFormat="1" x14ac:dyDescent="0.35"/>
    <row r="6816" s="13" customFormat="1" x14ac:dyDescent="0.35"/>
    <row r="6817" s="13" customFormat="1" x14ac:dyDescent="0.35"/>
    <row r="6818" s="13" customFormat="1" x14ac:dyDescent="0.35"/>
    <row r="6819" s="13" customFormat="1" x14ac:dyDescent="0.35"/>
    <row r="6820" s="13" customFormat="1" x14ac:dyDescent="0.35"/>
    <row r="6821" s="13" customFormat="1" x14ac:dyDescent="0.35"/>
    <row r="6822" s="13" customFormat="1" x14ac:dyDescent="0.35"/>
    <row r="6823" s="13" customFormat="1" x14ac:dyDescent="0.35"/>
    <row r="6824" s="13" customFormat="1" x14ac:dyDescent="0.35"/>
    <row r="6825" s="13" customFormat="1" x14ac:dyDescent="0.35"/>
    <row r="6826" s="13" customFormat="1" x14ac:dyDescent="0.35"/>
    <row r="6827" s="13" customFormat="1" x14ac:dyDescent="0.35"/>
    <row r="6828" s="13" customFormat="1" x14ac:dyDescent="0.35"/>
    <row r="6829" s="13" customFormat="1" x14ac:dyDescent="0.35"/>
    <row r="6830" s="13" customFormat="1" x14ac:dyDescent="0.35"/>
    <row r="6831" s="13" customFormat="1" x14ac:dyDescent="0.35"/>
    <row r="6832" s="13" customFormat="1" x14ac:dyDescent="0.35"/>
    <row r="6833" s="13" customFormat="1" x14ac:dyDescent="0.35"/>
    <row r="6834" s="13" customFormat="1" x14ac:dyDescent="0.35"/>
    <row r="6835" s="13" customFormat="1" x14ac:dyDescent="0.35"/>
    <row r="6836" s="13" customFormat="1" x14ac:dyDescent="0.35"/>
    <row r="6837" s="13" customFormat="1" x14ac:dyDescent="0.35"/>
    <row r="6838" s="13" customFormat="1" x14ac:dyDescent="0.35"/>
    <row r="6839" s="13" customFormat="1" x14ac:dyDescent="0.35"/>
    <row r="6840" s="13" customFormat="1" x14ac:dyDescent="0.35"/>
    <row r="6841" s="13" customFormat="1" x14ac:dyDescent="0.35"/>
    <row r="6842" s="13" customFormat="1" x14ac:dyDescent="0.35"/>
    <row r="6843" s="13" customFormat="1" x14ac:dyDescent="0.35"/>
    <row r="6844" s="13" customFormat="1" x14ac:dyDescent="0.35"/>
    <row r="6845" s="13" customFormat="1" x14ac:dyDescent="0.35"/>
    <row r="6846" s="13" customFormat="1" x14ac:dyDescent="0.35"/>
    <row r="6847" s="13" customFormat="1" x14ac:dyDescent="0.35"/>
    <row r="6848" s="13" customFormat="1" x14ac:dyDescent="0.35"/>
    <row r="6849" s="13" customFormat="1" x14ac:dyDescent="0.35"/>
    <row r="6850" s="13" customFormat="1" x14ac:dyDescent="0.35"/>
    <row r="6851" s="13" customFormat="1" x14ac:dyDescent="0.35"/>
    <row r="6852" s="13" customFormat="1" x14ac:dyDescent="0.35"/>
    <row r="6853" s="13" customFormat="1" x14ac:dyDescent="0.35"/>
    <row r="6854" s="13" customFormat="1" x14ac:dyDescent="0.35"/>
    <row r="6855" s="13" customFormat="1" x14ac:dyDescent="0.35"/>
    <row r="6856" s="13" customFormat="1" x14ac:dyDescent="0.35"/>
    <row r="6857" s="13" customFormat="1" x14ac:dyDescent="0.35"/>
    <row r="6858" s="13" customFormat="1" x14ac:dyDescent="0.35"/>
    <row r="6859" s="13" customFormat="1" x14ac:dyDescent="0.35"/>
    <row r="6860" s="13" customFormat="1" x14ac:dyDescent="0.35"/>
    <row r="6861" s="13" customFormat="1" x14ac:dyDescent="0.35"/>
    <row r="6862" s="13" customFormat="1" x14ac:dyDescent="0.35"/>
    <row r="6863" s="13" customFormat="1" x14ac:dyDescent="0.35"/>
    <row r="6864" s="13" customFormat="1" x14ac:dyDescent="0.35"/>
    <row r="6865" s="13" customFormat="1" x14ac:dyDescent="0.35"/>
    <row r="6866" s="13" customFormat="1" x14ac:dyDescent="0.35"/>
    <row r="6867" s="13" customFormat="1" x14ac:dyDescent="0.35"/>
    <row r="6868" s="13" customFormat="1" x14ac:dyDescent="0.35"/>
    <row r="6869" s="13" customFormat="1" x14ac:dyDescent="0.35"/>
    <row r="6870" s="13" customFormat="1" x14ac:dyDescent="0.35"/>
    <row r="6871" s="13" customFormat="1" x14ac:dyDescent="0.35"/>
    <row r="6872" s="13" customFormat="1" x14ac:dyDescent="0.35"/>
    <row r="6873" s="13" customFormat="1" x14ac:dyDescent="0.35"/>
    <row r="6874" s="13" customFormat="1" x14ac:dyDescent="0.35"/>
    <row r="6875" s="13" customFormat="1" x14ac:dyDescent="0.35"/>
    <row r="6876" s="13" customFormat="1" x14ac:dyDescent="0.35"/>
    <row r="6877" s="13" customFormat="1" x14ac:dyDescent="0.35"/>
    <row r="6878" s="13" customFormat="1" x14ac:dyDescent="0.35"/>
    <row r="6879" s="13" customFormat="1" x14ac:dyDescent="0.35"/>
    <row r="6880" s="13" customFormat="1" x14ac:dyDescent="0.35"/>
    <row r="6881" s="13" customFormat="1" x14ac:dyDescent="0.35"/>
    <row r="6882" s="13" customFormat="1" x14ac:dyDescent="0.35"/>
    <row r="6883" s="13" customFormat="1" x14ac:dyDescent="0.35"/>
    <row r="6884" s="13" customFormat="1" x14ac:dyDescent="0.35"/>
    <row r="6885" s="13" customFormat="1" x14ac:dyDescent="0.35"/>
    <row r="6886" s="13" customFormat="1" x14ac:dyDescent="0.35"/>
    <row r="6887" s="13" customFormat="1" x14ac:dyDescent="0.35"/>
    <row r="6888" s="13" customFormat="1" x14ac:dyDescent="0.35"/>
    <row r="6889" s="13" customFormat="1" x14ac:dyDescent="0.35"/>
    <row r="6890" s="13" customFormat="1" x14ac:dyDescent="0.35"/>
    <row r="6891" s="13" customFormat="1" x14ac:dyDescent="0.35"/>
    <row r="6892" s="13" customFormat="1" x14ac:dyDescent="0.35"/>
    <row r="6893" s="13" customFormat="1" x14ac:dyDescent="0.35"/>
    <row r="6894" s="13" customFormat="1" x14ac:dyDescent="0.35"/>
    <row r="6895" s="13" customFormat="1" x14ac:dyDescent="0.35"/>
    <row r="6896" s="13" customFormat="1" x14ac:dyDescent="0.35"/>
    <row r="6897" s="13" customFormat="1" x14ac:dyDescent="0.35"/>
    <row r="6898" s="13" customFormat="1" x14ac:dyDescent="0.35"/>
    <row r="6899" s="13" customFormat="1" x14ac:dyDescent="0.35"/>
    <row r="6900" s="13" customFormat="1" x14ac:dyDescent="0.35"/>
    <row r="6901" s="13" customFormat="1" x14ac:dyDescent="0.35"/>
    <row r="6902" s="13" customFormat="1" x14ac:dyDescent="0.35"/>
    <row r="6903" s="13" customFormat="1" x14ac:dyDescent="0.35"/>
    <row r="6904" s="13" customFormat="1" x14ac:dyDescent="0.35"/>
    <row r="6905" s="13" customFormat="1" x14ac:dyDescent="0.35"/>
    <row r="6906" s="13" customFormat="1" x14ac:dyDescent="0.35"/>
    <row r="6907" s="13" customFormat="1" x14ac:dyDescent="0.35"/>
    <row r="6908" s="13" customFormat="1" x14ac:dyDescent="0.35"/>
    <row r="6909" s="13" customFormat="1" x14ac:dyDescent="0.35"/>
    <row r="6910" s="13" customFormat="1" x14ac:dyDescent="0.35"/>
    <row r="6911" s="13" customFormat="1" x14ac:dyDescent="0.35"/>
    <row r="6912" s="13" customFormat="1" x14ac:dyDescent="0.35"/>
    <row r="6913" s="13" customFormat="1" x14ac:dyDescent="0.35"/>
    <row r="6914" s="13" customFormat="1" x14ac:dyDescent="0.35"/>
    <row r="6915" s="13" customFormat="1" x14ac:dyDescent="0.35"/>
    <row r="6916" s="13" customFormat="1" x14ac:dyDescent="0.35"/>
    <row r="6917" s="13" customFormat="1" x14ac:dyDescent="0.35"/>
    <row r="6918" s="13" customFormat="1" x14ac:dyDescent="0.35"/>
    <row r="6919" s="13" customFormat="1" x14ac:dyDescent="0.35"/>
    <row r="6920" s="13" customFormat="1" x14ac:dyDescent="0.35"/>
    <row r="6921" s="13" customFormat="1" x14ac:dyDescent="0.35"/>
    <row r="6922" s="13" customFormat="1" x14ac:dyDescent="0.35"/>
    <row r="6923" s="13" customFormat="1" x14ac:dyDescent="0.35"/>
    <row r="6924" s="13" customFormat="1" x14ac:dyDescent="0.35"/>
    <row r="6925" s="13" customFormat="1" x14ac:dyDescent="0.35"/>
    <row r="6926" s="13" customFormat="1" x14ac:dyDescent="0.35"/>
    <row r="6927" s="13" customFormat="1" x14ac:dyDescent="0.35"/>
    <row r="6928" s="13" customFormat="1" x14ac:dyDescent="0.35"/>
    <row r="6929" s="13" customFormat="1" x14ac:dyDescent="0.35"/>
    <row r="6930" s="13" customFormat="1" x14ac:dyDescent="0.35"/>
    <row r="6931" s="13" customFormat="1" x14ac:dyDescent="0.35"/>
    <row r="6932" s="13" customFormat="1" x14ac:dyDescent="0.35"/>
    <row r="6933" s="13" customFormat="1" x14ac:dyDescent="0.35"/>
    <row r="6934" s="13" customFormat="1" x14ac:dyDescent="0.35"/>
    <row r="6935" s="13" customFormat="1" x14ac:dyDescent="0.35"/>
    <row r="6936" s="13" customFormat="1" x14ac:dyDescent="0.35"/>
    <row r="6937" s="13" customFormat="1" x14ac:dyDescent="0.35"/>
    <row r="6938" s="13" customFormat="1" x14ac:dyDescent="0.35"/>
    <row r="6939" s="13" customFormat="1" x14ac:dyDescent="0.35"/>
    <row r="6940" s="13" customFormat="1" x14ac:dyDescent="0.35"/>
    <row r="6941" s="13" customFormat="1" x14ac:dyDescent="0.35"/>
    <row r="6942" s="13" customFormat="1" x14ac:dyDescent="0.35"/>
    <row r="6943" s="13" customFormat="1" x14ac:dyDescent="0.35"/>
    <row r="6944" s="13" customFormat="1" x14ac:dyDescent="0.35"/>
    <row r="6945" s="13" customFormat="1" x14ac:dyDescent="0.35"/>
    <row r="6946" s="13" customFormat="1" x14ac:dyDescent="0.35"/>
    <row r="6947" s="13" customFormat="1" x14ac:dyDescent="0.35"/>
    <row r="6948" s="13" customFormat="1" x14ac:dyDescent="0.35"/>
    <row r="6949" s="13" customFormat="1" x14ac:dyDescent="0.35"/>
    <row r="6950" s="13" customFormat="1" x14ac:dyDescent="0.35"/>
    <row r="6951" s="13" customFormat="1" x14ac:dyDescent="0.35"/>
    <row r="6952" s="13" customFormat="1" x14ac:dyDescent="0.35"/>
    <row r="6953" s="13" customFormat="1" x14ac:dyDescent="0.35"/>
    <row r="6954" s="13" customFormat="1" x14ac:dyDescent="0.35"/>
    <row r="6955" s="13" customFormat="1" x14ac:dyDescent="0.35"/>
    <row r="6956" s="13" customFormat="1" x14ac:dyDescent="0.35"/>
    <row r="6957" s="13" customFormat="1" x14ac:dyDescent="0.35"/>
    <row r="6958" s="13" customFormat="1" x14ac:dyDescent="0.35"/>
    <row r="6959" s="13" customFormat="1" x14ac:dyDescent="0.35"/>
    <row r="6960" s="13" customFormat="1" x14ac:dyDescent="0.35"/>
    <row r="6961" s="13" customFormat="1" x14ac:dyDescent="0.35"/>
    <row r="6962" s="13" customFormat="1" x14ac:dyDescent="0.35"/>
    <row r="6963" s="13" customFormat="1" x14ac:dyDescent="0.35"/>
    <row r="6964" s="13" customFormat="1" x14ac:dyDescent="0.35"/>
    <row r="6965" s="13" customFormat="1" x14ac:dyDescent="0.35"/>
    <row r="6966" s="13" customFormat="1" x14ac:dyDescent="0.35"/>
    <row r="6967" s="13" customFormat="1" x14ac:dyDescent="0.35"/>
    <row r="6968" s="13" customFormat="1" x14ac:dyDescent="0.35"/>
    <row r="6969" s="13" customFormat="1" x14ac:dyDescent="0.35"/>
    <row r="6970" s="13" customFormat="1" x14ac:dyDescent="0.35"/>
    <row r="6971" s="13" customFormat="1" x14ac:dyDescent="0.35"/>
    <row r="6972" s="13" customFormat="1" x14ac:dyDescent="0.35"/>
    <row r="6973" s="13" customFormat="1" x14ac:dyDescent="0.35"/>
    <row r="6974" s="13" customFormat="1" x14ac:dyDescent="0.35"/>
    <row r="6975" s="13" customFormat="1" x14ac:dyDescent="0.35"/>
    <row r="6976" s="13" customFormat="1" x14ac:dyDescent="0.35"/>
    <row r="6977" s="13" customFormat="1" x14ac:dyDescent="0.35"/>
    <row r="6978" s="13" customFormat="1" x14ac:dyDescent="0.35"/>
    <row r="6979" s="13" customFormat="1" x14ac:dyDescent="0.35"/>
    <row r="6980" s="13" customFormat="1" x14ac:dyDescent="0.35"/>
    <row r="6981" s="13" customFormat="1" x14ac:dyDescent="0.35"/>
    <row r="6982" s="13" customFormat="1" x14ac:dyDescent="0.35"/>
    <row r="6983" s="13" customFormat="1" x14ac:dyDescent="0.35"/>
    <row r="6984" s="13" customFormat="1" x14ac:dyDescent="0.35"/>
    <row r="6985" s="13" customFormat="1" x14ac:dyDescent="0.35"/>
    <row r="6986" s="13" customFormat="1" x14ac:dyDescent="0.35"/>
    <row r="6987" s="13" customFormat="1" x14ac:dyDescent="0.35"/>
    <row r="6988" s="13" customFormat="1" x14ac:dyDescent="0.35"/>
    <row r="6989" s="13" customFormat="1" x14ac:dyDescent="0.35"/>
    <row r="6990" s="13" customFormat="1" x14ac:dyDescent="0.35"/>
    <row r="6991" s="13" customFormat="1" x14ac:dyDescent="0.35"/>
    <row r="6992" s="13" customFormat="1" x14ac:dyDescent="0.35"/>
    <row r="6993" s="13" customFormat="1" x14ac:dyDescent="0.35"/>
    <row r="6994" s="13" customFormat="1" x14ac:dyDescent="0.35"/>
    <row r="6995" s="13" customFormat="1" x14ac:dyDescent="0.35"/>
    <row r="6996" s="13" customFormat="1" x14ac:dyDescent="0.35"/>
    <row r="6997" s="13" customFormat="1" x14ac:dyDescent="0.35"/>
    <row r="6998" s="13" customFormat="1" x14ac:dyDescent="0.35"/>
    <row r="6999" s="13" customFormat="1" x14ac:dyDescent="0.35"/>
    <row r="7000" s="13" customFormat="1" x14ac:dyDescent="0.35"/>
    <row r="7001" s="13" customFormat="1" x14ac:dyDescent="0.35"/>
    <row r="7002" s="13" customFormat="1" x14ac:dyDescent="0.35"/>
    <row r="7003" s="13" customFormat="1" x14ac:dyDescent="0.35"/>
    <row r="7004" s="13" customFormat="1" x14ac:dyDescent="0.35"/>
    <row r="7005" s="13" customFormat="1" x14ac:dyDescent="0.35"/>
    <row r="7006" s="13" customFormat="1" x14ac:dyDescent="0.35"/>
    <row r="7007" s="13" customFormat="1" x14ac:dyDescent="0.35"/>
    <row r="7008" s="13" customFormat="1" x14ac:dyDescent="0.35"/>
    <row r="7009" s="13" customFormat="1" x14ac:dyDescent="0.35"/>
    <row r="7010" s="13" customFormat="1" x14ac:dyDescent="0.35"/>
    <row r="7011" s="13" customFormat="1" x14ac:dyDescent="0.35"/>
    <row r="7012" s="13" customFormat="1" x14ac:dyDescent="0.35"/>
    <row r="7013" s="13" customFormat="1" x14ac:dyDescent="0.35"/>
    <row r="7014" s="13" customFormat="1" x14ac:dyDescent="0.35"/>
    <row r="7015" s="13" customFormat="1" x14ac:dyDescent="0.35"/>
    <row r="7016" s="13" customFormat="1" x14ac:dyDescent="0.35"/>
    <row r="7017" s="13" customFormat="1" x14ac:dyDescent="0.35"/>
    <row r="7018" s="13" customFormat="1" x14ac:dyDescent="0.35"/>
    <row r="7019" s="13" customFormat="1" x14ac:dyDescent="0.35"/>
    <row r="7020" s="13" customFormat="1" x14ac:dyDescent="0.35"/>
    <row r="7021" s="13" customFormat="1" x14ac:dyDescent="0.35"/>
    <row r="7022" s="13" customFormat="1" x14ac:dyDescent="0.35"/>
    <row r="7023" s="13" customFormat="1" x14ac:dyDescent="0.35"/>
    <row r="7024" s="13" customFormat="1" x14ac:dyDescent="0.35"/>
    <row r="7025" s="13" customFormat="1" x14ac:dyDescent="0.35"/>
    <row r="7026" s="13" customFormat="1" x14ac:dyDescent="0.35"/>
    <row r="7027" s="13" customFormat="1" x14ac:dyDescent="0.35"/>
    <row r="7028" s="13" customFormat="1" x14ac:dyDescent="0.35"/>
    <row r="7029" s="13" customFormat="1" x14ac:dyDescent="0.35"/>
    <row r="7030" s="13" customFormat="1" x14ac:dyDescent="0.35"/>
    <row r="7031" s="13" customFormat="1" x14ac:dyDescent="0.35"/>
    <row r="7032" s="13" customFormat="1" x14ac:dyDescent="0.35"/>
    <row r="7033" s="13" customFormat="1" x14ac:dyDescent="0.35"/>
    <row r="7034" s="13" customFormat="1" x14ac:dyDescent="0.35"/>
    <row r="7035" s="13" customFormat="1" x14ac:dyDescent="0.35"/>
    <row r="7036" s="13" customFormat="1" x14ac:dyDescent="0.35"/>
    <row r="7037" s="13" customFormat="1" x14ac:dyDescent="0.35"/>
    <row r="7038" s="13" customFormat="1" x14ac:dyDescent="0.35"/>
    <row r="7039" s="13" customFormat="1" x14ac:dyDescent="0.35"/>
    <row r="7040" s="13" customFormat="1" x14ac:dyDescent="0.35"/>
    <row r="7041" s="13" customFormat="1" x14ac:dyDescent="0.35"/>
    <row r="7042" s="13" customFormat="1" x14ac:dyDescent="0.35"/>
    <row r="7043" s="13" customFormat="1" x14ac:dyDescent="0.35"/>
    <row r="7044" s="13" customFormat="1" x14ac:dyDescent="0.35"/>
    <row r="7045" s="13" customFormat="1" x14ac:dyDescent="0.35"/>
    <row r="7046" s="13" customFormat="1" x14ac:dyDescent="0.35"/>
    <row r="7047" s="13" customFormat="1" x14ac:dyDescent="0.35"/>
    <row r="7048" s="13" customFormat="1" x14ac:dyDescent="0.35"/>
    <row r="7049" s="13" customFormat="1" x14ac:dyDescent="0.35"/>
    <row r="7050" s="13" customFormat="1" x14ac:dyDescent="0.35"/>
    <row r="7051" s="13" customFormat="1" x14ac:dyDescent="0.35"/>
    <row r="7052" s="13" customFormat="1" x14ac:dyDescent="0.35"/>
    <row r="7053" s="13" customFormat="1" x14ac:dyDescent="0.35"/>
    <row r="7054" s="13" customFormat="1" x14ac:dyDescent="0.35"/>
    <row r="7055" s="13" customFormat="1" x14ac:dyDescent="0.35"/>
    <row r="7056" s="13" customFormat="1" x14ac:dyDescent="0.35"/>
    <row r="7057" s="13" customFormat="1" x14ac:dyDescent="0.35"/>
    <row r="7058" s="13" customFormat="1" x14ac:dyDescent="0.35"/>
    <row r="7059" s="13" customFormat="1" x14ac:dyDescent="0.35"/>
    <row r="7060" s="13" customFormat="1" x14ac:dyDescent="0.35"/>
    <row r="7061" s="13" customFormat="1" x14ac:dyDescent="0.35"/>
    <row r="7062" s="13" customFormat="1" x14ac:dyDescent="0.35"/>
    <row r="7063" s="13" customFormat="1" x14ac:dyDescent="0.35"/>
    <row r="7064" s="13" customFormat="1" x14ac:dyDescent="0.35"/>
    <row r="7065" s="13" customFormat="1" x14ac:dyDescent="0.35"/>
    <row r="7066" s="13" customFormat="1" x14ac:dyDescent="0.35"/>
    <row r="7067" s="13" customFormat="1" x14ac:dyDescent="0.35"/>
    <row r="7068" s="13" customFormat="1" x14ac:dyDescent="0.35"/>
    <row r="7069" s="13" customFormat="1" x14ac:dyDescent="0.35"/>
    <row r="7070" s="13" customFormat="1" x14ac:dyDescent="0.35"/>
    <row r="7071" s="13" customFormat="1" x14ac:dyDescent="0.35"/>
    <row r="7072" s="13" customFormat="1" x14ac:dyDescent="0.35"/>
    <row r="7073" s="13" customFormat="1" x14ac:dyDescent="0.35"/>
    <row r="7074" s="13" customFormat="1" x14ac:dyDescent="0.35"/>
    <row r="7075" s="13" customFormat="1" x14ac:dyDescent="0.35"/>
    <row r="7076" s="13" customFormat="1" x14ac:dyDescent="0.35"/>
    <row r="7077" s="13" customFormat="1" x14ac:dyDescent="0.35"/>
    <row r="7078" s="13" customFormat="1" x14ac:dyDescent="0.35"/>
    <row r="7079" s="13" customFormat="1" x14ac:dyDescent="0.35"/>
    <row r="7080" s="13" customFormat="1" x14ac:dyDescent="0.35"/>
    <row r="7081" s="13" customFormat="1" x14ac:dyDescent="0.35"/>
    <row r="7082" s="13" customFormat="1" x14ac:dyDescent="0.35"/>
    <row r="7083" s="13" customFormat="1" x14ac:dyDescent="0.35"/>
    <row r="7084" s="13" customFormat="1" x14ac:dyDescent="0.35"/>
    <row r="7085" s="13" customFormat="1" x14ac:dyDescent="0.35"/>
    <row r="7086" s="13" customFormat="1" x14ac:dyDescent="0.35"/>
    <row r="7087" s="13" customFormat="1" x14ac:dyDescent="0.35"/>
    <row r="7088" s="13" customFormat="1" x14ac:dyDescent="0.35"/>
    <row r="7089" s="13" customFormat="1" x14ac:dyDescent="0.35"/>
    <row r="7090" s="13" customFormat="1" x14ac:dyDescent="0.35"/>
    <row r="7091" s="13" customFormat="1" x14ac:dyDescent="0.35"/>
    <row r="7092" s="13" customFormat="1" x14ac:dyDescent="0.35"/>
    <row r="7093" s="13" customFormat="1" x14ac:dyDescent="0.35"/>
    <row r="7094" s="13" customFormat="1" x14ac:dyDescent="0.35"/>
    <row r="7095" s="13" customFormat="1" x14ac:dyDescent="0.35"/>
    <row r="7096" s="13" customFormat="1" x14ac:dyDescent="0.35"/>
    <row r="7097" s="13" customFormat="1" x14ac:dyDescent="0.35"/>
    <row r="7098" s="13" customFormat="1" x14ac:dyDescent="0.35"/>
    <row r="7099" s="13" customFormat="1" x14ac:dyDescent="0.35"/>
    <row r="7100" s="13" customFormat="1" x14ac:dyDescent="0.35"/>
    <row r="7101" s="13" customFormat="1" x14ac:dyDescent="0.35"/>
    <row r="7102" s="13" customFormat="1" x14ac:dyDescent="0.35"/>
    <row r="7103" s="13" customFormat="1" x14ac:dyDescent="0.35"/>
    <row r="7104" s="13" customFormat="1" x14ac:dyDescent="0.35"/>
    <row r="7105" s="13" customFormat="1" x14ac:dyDescent="0.35"/>
    <row r="7106" s="13" customFormat="1" x14ac:dyDescent="0.35"/>
    <row r="7107" s="13" customFormat="1" x14ac:dyDescent="0.35"/>
    <row r="7108" s="13" customFormat="1" x14ac:dyDescent="0.35"/>
    <row r="7109" s="13" customFormat="1" x14ac:dyDescent="0.35"/>
    <row r="7110" s="13" customFormat="1" x14ac:dyDescent="0.35"/>
    <row r="7111" s="13" customFormat="1" x14ac:dyDescent="0.35"/>
    <row r="7112" s="13" customFormat="1" x14ac:dyDescent="0.35"/>
    <row r="7113" s="13" customFormat="1" x14ac:dyDescent="0.35"/>
    <row r="7114" s="13" customFormat="1" x14ac:dyDescent="0.35"/>
    <row r="7115" s="13" customFormat="1" x14ac:dyDescent="0.35"/>
    <row r="7116" s="13" customFormat="1" x14ac:dyDescent="0.35"/>
    <row r="7117" s="13" customFormat="1" x14ac:dyDescent="0.35"/>
    <row r="7118" s="13" customFormat="1" x14ac:dyDescent="0.35"/>
    <row r="7119" s="13" customFormat="1" x14ac:dyDescent="0.35"/>
    <row r="7120" s="13" customFormat="1" x14ac:dyDescent="0.35"/>
    <row r="7121" s="13" customFormat="1" x14ac:dyDescent="0.35"/>
    <row r="7122" s="13" customFormat="1" x14ac:dyDescent="0.35"/>
    <row r="7123" s="13" customFormat="1" x14ac:dyDescent="0.35"/>
    <row r="7124" s="13" customFormat="1" x14ac:dyDescent="0.35"/>
    <row r="7125" s="13" customFormat="1" x14ac:dyDescent="0.35"/>
    <row r="7126" s="13" customFormat="1" x14ac:dyDescent="0.35"/>
    <row r="7127" s="13" customFormat="1" x14ac:dyDescent="0.35"/>
    <row r="7128" s="13" customFormat="1" x14ac:dyDescent="0.35"/>
    <row r="7129" s="13" customFormat="1" x14ac:dyDescent="0.35"/>
    <row r="7130" s="13" customFormat="1" x14ac:dyDescent="0.35"/>
    <row r="7131" s="13" customFormat="1" x14ac:dyDescent="0.35"/>
    <row r="7132" s="13" customFormat="1" x14ac:dyDescent="0.35"/>
    <row r="7133" s="13" customFormat="1" x14ac:dyDescent="0.35"/>
    <row r="7134" s="13" customFormat="1" x14ac:dyDescent="0.35"/>
    <row r="7135" s="13" customFormat="1" x14ac:dyDescent="0.35"/>
    <row r="7136" s="13" customFormat="1" x14ac:dyDescent="0.35"/>
    <row r="7137" s="13" customFormat="1" x14ac:dyDescent="0.35"/>
    <row r="7138" s="13" customFormat="1" x14ac:dyDescent="0.35"/>
    <row r="7139" s="13" customFormat="1" x14ac:dyDescent="0.35"/>
    <row r="7140" s="13" customFormat="1" x14ac:dyDescent="0.35"/>
    <row r="7141" s="13" customFormat="1" x14ac:dyDescent="0.35"/>
    <row r="7142" s="13" customFormat="1" x14ac:dyDescent="0.35"/>
    <row r="7143" s="13" customFormat="1" x14ac:dyDescent="0.35"/>
    <row r="7144" s="13" customFormat="1" x14ac:dyDescent="0.35"/>
    <row r="7145" s="13" customFormat="1" x14ac:dyDescent="0.35"/>
    <row r="7146" s="13" customFormat="1" x14ac:dyDescent="0.35"/>
    <row r="7147" s="13" customFormat="1" x14ac:dyDescent="0.35"/>
    <row r="7148" s="13" customFormat="1" x14ac:dyDescent="0.35"/>
    <row r="7149" s="13" customFormat="1" x14ac:dyDescent="0.35"/>
    <row r="7150" s="13" customFormat="1" x14ac:dyDescent="0.35"/>
    <row r="7151" s="13" customFormat="1" x14ac:dyDescent="0.35"/>
    <row r="7152" s="13" customFormat="1" x14ac:dyDescent="0.35"/>
    <row r="7153" s="13" customFormat="1" x14ac:dyDescent="0.35"/>
    <row r="7154" s="13" customFormat="1" x14ac:dyDescent="0.35"/>
    <row r="7155" s="13" customFormat="1" x14ac:dyDescent="0.35"/>
    <row r="7156" s="13" customFormat="1" x14ac:dyDescent="0.35"/>
    <row r="7157" s="13" customFormat="1" x14ac:dyDescent="0.35"/>
    <row r="7158" s="13" customFormat="1" x14ac:dyDescent="0.35"/>
    <row r="7159" s="13" customFormat="1" x14ac:dyDescent="0.35"/>
    <row r="7160" s="13" customFormat="1" x14ac:dyDescent="0.35"/>
    <row r="7161" s="13" customFormat="1" x14ac:dyDescent="0.35"/>
    <row r="7162" s="13" customFormat="1" x14ac:dyDescent="0.35"/>
    <row r="7163" s="13" customFormat="1" x14ac:dyDescent="0.35"/>
    <row r="7164" s="13" customFormat="1" x14ac:dyDescent="0.35"/>
    <row r="7165" s="13" customFormat="1" x14ac:dyDescent="0.35"/>
    <row r="7166" s="13" customFormat="1" x14ac:dyDescent="0.35"/>
    <row r="7167" s="13" customFormat="1" x14ac:dyDescent="0.35"/>
    <row r="7168" s="13" customFormat="1" x14ac:dyDescent="0.35"/>
    <row r="7169" s="13" customFormat="1" x14ac:dyDescent="0.35"/>
    <row r="7170" s="13" customFormat="1" x14ac:dyDescent="0.35"/>
    <row r="7171" s="13" customFormat="1" x14ac:dyDescent="0.35"/>
    <row r="7172" s="13" customFormat="1" x14ac:dyDescent="0.35"/>
    <row r="7173" s="13" customFormat="1" x14ac:dyDescent="0.35"/>
    <row r="7174" s="13" customFormat="1" x14ac:dyDescent="0.35"/>
    <row r="7175" s="13" customFormat="1" x14ac:dyDescent="0.35"/>
    <row r="7176" s="13" customFormat="1" x14ac:dyDescent="0.35"/>
    <row r="7177" s="13" customFormat="1" x14ac:dyDescent="0.35"/>
    <row r="7178" s="13" customFormat="1" x14ac:dyDescent="0.35"/>
    <row r="7179" s="13" customFormat="1" x14ac:dyDescent="0.35"/>
    <row r="7180" s="13" customFormat="1" x14ac:dyDescent="0.35"/>
    <row r="7181" s="13" customFormat="1" x14ac:dyDescent="0.35"/>
    <row r="7182" s="13" customFormat="1" x14ac:dyDescent="0.35"/>
    <row r="7183" s="13" customFormat="1" x14ac:dyDescent="0.35"/>
    <row r="7184" s="13" customFormat="1" x14ac:dyDescent="0.35"/>
    <row r="7185" s="13" customFormat="1" x14ac:dyDescent="0.35"/>
    <row r="7186" s="13" customFormat="1" x14ac:dyDescent="0.35"/>
    <row r="7187" s="13" customFormat="1" x14ac:dyDescent="0.35"/>
    <row r="7188" s="13" customFormat="1" x14ac:dyDescent="0.35"/>
    <row r="7189" s="13" customFormat="1" x14ac:dyDescent="0.35"/>
    <row r="7190" s="13" customFormat="1" x14ac:dyDescent="0.35"/>
    <row r="7191" s="13" customFormat="1" x14ac:dyDescent="0.35"/>
    <row r="7192" s="13" customFormat="1" x14ac:dyDescent="0.35"/>
    <row r="7193" s="13" customFormat="1" x14ac:dyDescent="0.35"/>
    <row r="7194" s="13" customFormat="1" x14ac:dyDescent="0.35"/>
    <row r="7195" s="13" customFormat="1" x14ac:dyDescent="0.35"/>
    <row r="7196" s="13" customFormat="1" x14ac:dyDescent="0.35"/>
    <row r="7197" s="13" customFormat="1" x14ac:dyDescent="0.35"/>
    <row r="7198" s="13" customFormat="1" x14ac:dyDescent="0.35"/>
    <row r="7199" s="13" customFormat="1" x14ac:dyDescent="0.35"/>
    <row r="7200" s="13" customFormat="1" x14ac:dyDescent="0.35"/>
    <row r="7201" s="13" customFormat="1" x14ac:dyDescent="0.35"/>
    <row r="7202" s="13" customFormat="1" x14ac:dyDescent="0.35"/>
    <row r="7203" s="13" customFormat="1" x14ac:dyDescent="0.35"/>
    <row r="7204" s="13" customFormat="1" x14ac:dyDescent="0.35"/>
    <row r="7205" s="13" customFormat="1" x14ac:dyDescent="0.35"/>
    <row r="7206" s="13" customFormat="1" x14ac:dyDescent="0.35"/>
    <row r="7207" s="13" customFormat="1" x14ac:dyDescent="0.35"/>
    <row r="7208" s="13" customFormat="1" x14ac:dyDescent="0.35"/>
    <row r="7209" s="13" customFormat="1" x14ac:dyDescent="0.35"/>
    <row r="7210" s="13" customFormat="1" x14ac:dyDescent="0.35"/>
    <row r="7211" s="13" customFormat="1" x14ac:dyDescent="0.35"/>
    <row r="7212" s="13" customFormat="1" x14ac:dyDescent="0.35"/>
    <row r="7213" s="13" customFormat="1" x14ac:dyDescent="0.35"/>
    <row r="7214" s="13" customFormat="1" x14ac:dyDescent="0.35"/>
    <row r="7215" s="13" customFormat="1" x14ac:dyDescent="0.35"/>
    <row r="7216" s="13" customFormat="1" x14ac:dyDescent="0.35"/>
    <row r="7217" s="13" customFormat="1" x14ac:dyDescent="0.35"/>
    <row r="7218" s="13" customFormat="1" x14ac:dyDescent="0.35"/>
    <row r="7219" s="13" customFormat="1" x14ac:dyDescent="0.35"/>
    <row r="7220" s="13" customFormat="1" x14ac:dyDescent="0.35"/>
    <row r="7221" s="13" customFormat="1" x14ac:dyDescent="0.35"/>
    <row r="7222" s="13" customFormat="1" x14ac:dyDescent="0.35"/>
    <row r="7223" s="13" customFormat="1" x14ac:dyDescent="0.35"/>
    <row r="7224" s="13" customFormat="1" x14ac:dyDescent="0.35"/>
    <row r="7225" s="13" customFormat="1" x14ac:dyDescent="0.35"/>
    <row r="7226" s="13" customFormat="1" x14ac:dyDescent="0.35"/>
    <row r="7227" s="13" customFormat="1" x14ac:dyDescent="0.35"/>
    <row r="7228" s="13" customFormat="1" x14ac:dyDescent="0.35"/>
    <row r="7229" s="13" customFormat="1" x14ac:dyDescent="0.35"/>
    <row r="7230" s="13" customFormat="1" x14ac:dyDescent="0.35"/>
    <row r="7231" s="13" customFormat="1" x14ac:dyDescent="0.35"/>
    <row r="7232" s="13" customFormat="1" x14ac:dyDescent="0.35"/>
    <row r="7233" s="13" customFormat="1" x14ac:dyDescent="0.35"/>
    <row r="7234" s="13" customFormat="1" x14ac:dyDescent="0.35"/>
    <row r="7235" s="13" customFormat="1" x14ac:dyDescent="0.35"/>
    <row r="7236" s="13" customFormat="1" x14ac:dyDescent="0.35"/>
    <row r="7237" s="13" customFormat="1" x14ac:dyDescent="0.35"/>
    <row r="7238" s="13" customFormat="1" x14ac:dyDescent="0.35"/>
    <row r="7239" s="13" customFormat="1" x14ac:dyDescent="0.35"/>
    <row r="7240" s="13" customFormat="1" x14ac:dyDescent="0.35"/>
    <row r="7241" s="13" customFormat="1" x14ac:dyDescent="0.35"/>
    <row r="7242" s="13" customFormat="1" x14ac:dyDescent="0.35"/>
    <row r="7243" s="13" customFormat="1" x14ac:dyDescent="0.35"/>
    <row r="7244" s="13" customFormat="1" x14ac:dyDescent="0.35"/>
    <row r="7245" s="13" customFormat="1" x14ac:dyDescent="0.35"/>
    <row r="7246" s="13" customFormat="1" x14ac:dyDescent="0.35"/>
    <row r="7247" s="13" customFormat="1" x14ac:dyDescent="0.35"/>
    <row r="7248" s="13" customFormat="1" x14ac:dyDescent="0.35"/>
    <row r="7249" s="13" customFormat="1" x14ac:dyDescent="0.35"/>
    <row r="7250" s="13" customFormat="1" x14ac:dyDescent="0.35"/>
    <row r="7251" s="13" customFormat="1" x14ac:dyDescent="0.35"/>
    <row r="7252" s="13" customFormat="1" x14ac:dyDescent="0.35"/>
    <row r="7253" s="13" customFormat="1" x14ac:dyDescent="0.35"/>
    <row r="7254" s="13" customFormat="1" x14ac:dyDescent="0.35"/>
    <row r="7255" s="13" customFormat="1" x14ac:dyDescent="0.35"/>
    <row r="7256" s="13" customFormat="1" x14ac:dyDescent="0.35"/>
    <row r="7257" s="13" customFormat="1" x14ac:dyDescent="0.35"/>
    <row r="7258" s="13" customFormat="1" x14ac:dyDescent="0.35"/>
    <row r="7259" s="13" customFormat="1" x14ac:dyDescent="0.35"/>
    <row r="7260" s="13" customFormat="1" x14ac:dyDescent="0.35"/>
    <row r="7261" s="13" customFormat="1" x14ac:dyDescent="0.35"/>
    <row r="7262" s="13" customFormat="1" x14ac:dyDescent="0.35"/>
    <row r="7263" s="13" customFormat="1" x14ac:dyDescent="0.35"/>
    <row r="7264" s="13" customFormat="1" x14ac:dyDescent="0.35"/>
    <row r="7265" s="13" customFormat="1" x14ac:dyDescent="0.35"/>
    <row r="7266" s="13" customFormat="1" x14ac:dyDescent="0.35"/>
    <row r="7267" s="13" customFormat="1" x14ac:dyDescent="0.35"/>
    <row r="7268" s="13" customFormat="1" x14ac:dyDescent="0.35"/>
    <row r="7269" s="13" customFormat="1" x14ac:dyDescent="0.35"/>
    <row r="7270" s="13" customFormat="1" x14ac:dyDescent="0.35"/>
    <row r="7271" s="13" customFormat="1" x14ac:dyDescent="0.35"/>
    <row r="7272" s="13" customFormat="1" x14ac:dyDescent="0.35"/>
    <row r="7273" s="13" customFormat="1" x14ac:dyDescent="0.35"/>
    <row r="7274" s="13" customFormat="1" x14ac:dyDescent="0.35"/>
    <row r="7275" s="13" customFormat="1" x14ac:dyDescent="0.35"/>
    <row r="7276" s="13" customFormat="1" x14ac:dyDescent="0.35"/>
    <row r="7277" s="13" customFormat="1" x14ac:dyDescent="0.35"/>
    <row r="7278" s="13" customFormat="1" x14ac:dyDescent="0.35"/>
    <row r="7279" s="13" customFormat="1" x14ac:dyDescent="0.35"/>
    <row r="7280" s="13" customFormat="1" x14ac:dyDescent="0.35"/>
    <row r="7281" s="13" customFormat="1" x14ac:dyDescent="0.35"/>
    <row r="7282" s="13" customFormat="1" x14ac:dyDescent="0.35"/>
    <row r="7283" s="13" customFormat="1" x14ac:dyDescent="0.35"/>
    <row r="7284" s="13" customFormat="1" x14ac:dyDescent="0.35"/>
    <row r="7285" s="13" customFormat="1" x14ac:dyDescent="0.35"/>
    <row r="7286" s="13" customFormat="1" x14ac:dyDescent="0.35"/>
    <row r="7287" s="13" customFormat="1" x14ac:dyDescent="0.35"/>
    <row r="7288" s="13" customFormat="1" x14ac:dyDescent="0.35"/>
    <row r="7289" s="13" customFormat="1" x14ac:dyDescent="0.35"/>
    <row r="7290" s="13" customFormat="1" x14ac:dyDescent="0.35"/>
    <row r="7291" s="13" customFormat="1" x14ac:dyDescent="0.35"/>
    <row r="7292" s="13" customFormat="1" x14ac:dyDescent="0.35"/>
    <row r="7293" s="13" customFormat="1" x14ac:dyDescent="0.35"/>
    <row r="7294" s="13" customFormat="1" x14ac:dyDescent="0.35"/>
    <row r="7295" s="13" customFormat="1" x14ac:dyDescent="0.35"/>
    <row r="7296" s="13" customFormat="1" x14ac:dyDescent="0.35"/>
    <row r="7297" s="13" customFormat="1" x14ac:dyDescent="0.35"/>
    <row r="7298" s="13" customFormat="1" x14ac:dyDescent="0.35"/>
    <row r="7299" s="13" customFormat="1" x14ac:dyDescent="0.35"/>
    <row r="7300" s="13" customFormat="1" x14ac:dyDescent="0.35"/>
    <row r="7301" s="13" customFormat="1" x14ac:dyDescent="0.35"/>
    <row r="7302" s="13" customFormat="1" x14ac:dyDescent="0.35"/>
    <row r="7303" s="13" customFormat="1" x14ac:dyDescent="0.35"/>
    <row r="7304" s="13" customFormat="1" x14ac:dyDescent="0.35"/>
    <row r="7305" s="13" customFormat="1" x14ac:dyDescent="0.35"/>
    <row r="7306" s="13" customFormat="1" x14ac:dyDescent="0.35"/>
    <row r="7307" s="13" customFormat="1" x14ac:dyDescent="0.35"/>
    <row r="7308" s="13" customFormat="1" x14ac:dyDescent="0.35"/>
    <row r="7309" s="13" customFormat="1" x14ac:dyDescent="0.35"/>
    <row r="7310" s="13" customFormat="1" x14ac:dyDescent="0.35"/>
    <row r="7311" s="13" customFormat="1" x14ac:dyDescent="0.35"/>
    <row r="7312" s="13" customFormat="1" x14ac:dyDescent="0.35"/>
    <row r="7313" s="13" customFormat="1" x14ac:dyDescent="0.35"/>
    <row r="7314" s="13" customFormat="1" x14ac:dyDescent="0.35"/>
    <row r="7315" s="13" customFormat="1" x14ac:dyDescent="0.35"/>
    <row r="7316" s="13" customFormat="1" x14ac:dyDescent="0.35"/>
    <row r="7317" s="13" customFormat="1" x14ac:dyDescent="0.35"/>
    <row r="7318" s="13" customFormat="1" x14ac:dyDescent="0.35"/>
    <row r="7319" s="13" customFormat="1" x14ac:dyDescent="0.35"/>
    <row r="7320" s="13" customFormat="1" x14ac:dyDescent="0.35"/>
    <row r="7321" s="13" customFormat="1" x14ac:dyDescent="0.35"/>
    <row r="7322" s="13" customFormat="1" x14ac:dyDescent="0.35"/>
    <row r="7323" s="13" customFormat="1" x14ac:dyDescent="0.35"/>
    <row r="7324" s="13" customFormat="1" x14ac:dyDescent="0.35"/>
    <row r="7325" s="13" customFormat="1" x14ac:dyDescent="0.35"/>
    <row r="7326" s="13" customFormat="1" x14ac:dyDescent="0.35"/>
    <row r="7327" s="13" customFormat="1" x14ac:dyDescent="0.35"/>
    <row r="7328" s="13" customFormat="1" x14ac:dyDescent="0.35"/>
    <row r="7329" s="13" customFormat="1" x14ac:dyDescent="0.35"/>
    <row r="7330" s="13" customFormat="1" x14ac:dyDescent="0.35"/>
    <row r="7331" s="13" customFormat="1" x14ac:dyDescent="0.35"/>
    <row r="7332" s="13" customFormat="1" x14ac:dyDescent="0.35"/>
    <row r="7333" s="13" customFormat="1" x14ac:dyDescent="0.35"/>
    <row r="7334" s="13" customFormat="1" x14ac:dyDescent="0.35"/>
    <row r="7335" s="13" customFormat="1" x14ac:dyDescent="0.35"/>
    <row r="7336" s="13" customFormat="1" x14ac:dyDescent="0.35"/>
    <row r="7337" s="13" customFormat="1" x14ac:dyDescent="0.35"/>
    <row r="7338" s="13" customFormat="1" x14ac:dyDescent="0.35"/>
    <row r="7339" s="13" customFormat="1" x14ac:dyDescent="0.35"/>
    <row r="7340" s="13" customFormat="1" x14ac:dyDescent="0.35"/>
    <row r="7341" s="13" customFormat="1" x14ac:dyDescent="0.35"/>
    <row r="7342" s="13" customFormat="1" x14ac:dyDescent="0.35"/>
    <row r="7343" s="13" customFormat="1" x14ac:dyDescent="0.35"/>
    <row r="7344" s="13" customFormat="1" x14ac:dyDescent="0.35"/>
    <row r="7345" s="13" customFormat="1" x14ac:dyDescent="0.35"/>
    <row r="7346" s="13" customFormat="1" x14ac:dyDescent="0.35"/>
    <row r="7347" s="13" customFormat="1" x14ac:dyDescent="0.35"/>
    <row r="7348" s="13" customFormat="1" x14ac:dyDescent="0.35"/>
    <row r="7349" s="13" customFormat="1" x14ac:dyDescent="0.35"/>
    <row r="7350" s="13" customFormat="1" x14ac:dyDescent="0.35"/>
    <row r="7351" s="13" customFormat="1" x14ac:dyDescent="0.35"/>
    <row r="7352" s="13" customFormat="1" x14ac:dyDescent="0.35"/>
    <row r="7353" s="13" customFormat="1" x14ac:dyDescent="0.35"/>
    <row r="7354" s="13" customFormat="1" x14ac:dyDescent="0.35"/>
    <row r="7355" s="13" customFormat="1" x14ac:dyDescent="0.35"/>
    <row r="7356" s="13" customFormat="1" x14ac:dyDescent="0.35"/>
  </sheetData>
  <protectedRanges>
    <protectedRange sqref="E58:F62 E36:F37 E23:F31" name="Range1_3"/>
  </protectedRanges>
  <phoneticPr fontId="9"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tabColor theme="3" tint="0.59999389629810485"/>
  </sheetPr>
  <dimension ref="B1:F4663"/>
  <sheetViews>
    <sheetView zoomScaleNormal="100" zoomScalePageLayoutView="90" workbookViewId="0">
      <selection activeCell="G5" sqref="G5"/>
    </sheetView>
  </sheetViews>
  <sheetFormatPr defaultColWidth="7" defaultRowHeight="15" zeroHeight="1" x14ac:dyDescent="0.35"/>
  <cols>
    <col min="1" max="1" width="4.1796875" style="13" customWidth="1"/>
    <col min="2" max="2" width="15" style="13" customWidth="1"/>
    <col min="3" max="3" width="63.6328125" style="13" customWidth="1"/>
    <col min="4" max="4" width="13.81640625" style="13" customWidth="1"/>
    <col min="5" max="5" width="27.6328125" style="13" bestFit="1" customWidth="1"/>
    <col min="6" max="6" width="15.90625" style="13" customWidth="1"/>
    <col min="7" max="7" width="17.7265625" style="13" customWidth="1"/>
    <col min="8" max="16384" width="7" style="13"/>
  </cols>
  <sheetData>
    <row r="1" spans="2:6" ht="20.149999999999999" customHeight="1" x14ac:dyDescent="0.35">
      <c r="B1" s="24"/>
    </row>
    <row r="2" spans="2:6" ht="20.149999999999999" customHeight="1" x14ac:dyDescent="0.35">
      <c r="B2" s="14" t="s">
        <v>15</v>
      </c>
    </row>
    <row r="3" spans="2:6" ht="30" x14ac:dyDescent="0.35">
      <c r="B3" s="15" t="s">
        <v>8</v>
      </c>
      <c r="C3" s="16" t="s">
        <v>130</v>
      </c>
      <c r="D3" s="16" t="s">
        <v>60</v>
      </c>
      <c r="E3" s="16" t="s">
        <v>131</v>
      </c>
      <c r="F3" s="15" t="s">
        <v>81</v>
      </c>
    </row>
    <row r="4" spans="2:6" x14ac:dyDescent="0.35">
      <c r="B4" s="37" t="s">
        <v>213</v>
      </c>
      <c r="C4" s="18" t="s">
        <v>269</v>
      </c>
      <c r="D4" s="21" t="s">
        <v>65</v>
      </c>
      <c r="E4" s="45"/>
      <c r="F4" s="19"/>
    </row>
    <row r="5" spans="2:6" x14ac:dyDescent="0.35">
      <c r="B5" s="37"/>
      <c r="C5" s="18" t="s">
        <v>270</v>
      </c>
      <c r="D5" s="21" t="s">
        <v>65</v>
      </c>
      <c r="E5" s="45"/>
      <c r="F5" s="19"/>
    </row>
    <row r="6" spans="2:6" x14ac:dyDescent="0.35">
      <c r="B6" s="25"/>
      <c r="C6" s="26"/>
      <c r="D6" s="26"/>
      <c r="E6" s="23"/>
      <c r="F6" s="23"/>
    </row>
    <row r="7" spans="2:6" ht="30" x14ac:dyDescent="0.35">
      <c r="B7" s="37" t="s">
        <v>271</v>
      </c>
      <c r="C7" s="18" t="s">
        <v>152</v>
      </c>
      <c r="D7" s="18" t="s">
        <v>62</v>
      </c>
      <c r="E7" s="45">
        <v>751765355</v>
      </c>
      <c r="F7" s="19" t="s">
        <v>243</v>
      </c>
    </row>
    <row r="8" spans="2:6" ht="30" x14ac:dyDescent="0.35">
      <c r="B8" s="37"/>
      <c r="C8" s="18" t="s">
        <v>153</v>
      </c>
      <c r="D8" s="18" t="s">
        <v>62</v>
      </c>
      <c r="E8" s="45">
        <v>182736068</v>
      </c>
      <c r="F8" s="19" t="s">
        <v>243</v>
      </c>
    </row>
    <row r="9" spans="2:6" x14ac:dyDescent="0.35">
      <c r="B9" s="37"/>
      <c r="C9" s="21" t="s">
        <v>64</v>
      </c>
      <c r="D9" s="21" t="s">
        <v>65</v>
      </c>
      <c r="E9" s="19" t="s">
        <v>225</v>
      </c>
      <c r="F9" s="19"/>
    </row>
    <row r="10" spans="2:6" ht="30" x14ac:dyDescent="0.35">
      <c r="B10" s="37"/>
      <c r="C10" s="58" t="s">
        <v>214</v>
      </c>
      <c r="D10" s="58" t="s">
        <v>65</v>
      </c>
      <c r="E10" s="55" t="s">
        <v>225</v>
      </c>
      <c r="F10" s="19"/>
    </row>
    <row r="11" spans="2:6" x14ac:dyDescent="0.35">
      <c r="B11" s="25"/>
      <c r="C11" s="26"/>
      <c r="D11" s="26"/>
      <c r="E11" s="23"/>
      <c r="F11" s="23"/>
    </row>
    <row r="12" spans="2:6" ht="15.5" thickBot="1" x14ac:dyDescent="0.4">
      <c r="B12" s="37"/>
      <c r="C12" s="18" t="s">
        <v>66</v>
      </c>
      <c r="D12" s="18" t="s">
        <v>65</v>
      </c>
      <c r="E12" s="64" t="s">
        <v>234</v>
      </c>
      <c r="F12" s="19"/>
    </row>
    <row r="13" spans="2:6" ht="15.5" thickBot="1" x14ac:dyDescent="0.4">
      <c r="B13" s="37" t="s">
        <v>13</v>
      </c>
      <c r="C13" s="21" t="s">
        <v>154</v>
      </c>
      <c r="D13" s="21" t="s">
        <v>62</v>
      </c>
      <c r="E13" s="65">
        <v>2</v>
      </c>
      <c r="F13" s="19"/>
    </row>
    <row r="14" spans="2:6" ht="15.5" thickBot="1" x14ac:dyDescent="0.4">
      <c r="B14" s="37"/>
      <c r="C14" s="21" t="s">
        <v>87</v>
      </c>
      <c r="D14" s="21" t="s">
        <v>65</v>
      </c>
      <c r="E14" s="64" t="s">
        <v>234</v>
      </c>
      <c r="F14" s="19"/>
    </row>
    <row r="15" spans="2:6" ht="15.5" thickBot="1" x14ac:dyDescent="0.4">
      <c r="B15" s="37"/>
      <c r="C15" s="21" t="s">
        <v>88</v>
      </c>
      <c r="D15" s="21" t="s">
        <v>65</v>
      </c>
      <c r="E15" s="64" t="s">
        <v>234</v>
      </c>
      <c r="F15" s="19"/>
    </row>
    <row r="16" spans="2:6" x14ac:dyDescent="0.35">
      <c r="B16" s="23"/>
      <c r="C16" s="23"/>
      <c r="D16" s="23"/>
      <c r="E16" s="23"/>
      <c r="F16" s="23"/>
    </row>
    <row r="17" spans="2:6" ht="30" x14ac:dyDescent="0.35">
      <c r="B17" s="37" t="s">
        <v>14</v>
      </c>
      <c r="C17" s="18" t="s">
        <v>155</v>
      </c>
      <c r="D17" s="18" t="s">
        <v>112</v>
      </c>
      <c r="E17" s="19">
        <v>82706552</v>
      </c>
      <c r="F17" s="19" t="s">
        <v>243</v>
      </c>
    </row>
    <row r="18" spans="2:6" x14ac:dyDescent="0.35">
      <c r="B18" s="37"/>
      <c r="C18" s="18" t="s">
        <v>67</v>
      </c>
      <c r="D18" s="18" t="s">
        <v>65</v>
      </c>
      <c r="E18" s="19" t="s">
        <v>223</v>
      </c>
      <c r="F18" s="19"/>
    </row>
    <row r="19" spans="2:6" x14ac:dyDescent="0.35">
      <c r="B19" s="37"/>
      <c r="C19" s="18" t="s">
        <v>89</v>
      </c>
      <c r="D19" s="18" t="s">
        <v>65</v>
      </c>
      <c r="E19" s="19" t="s">
        <v>223</v>
      </c>
      <c r="F19" s="19"/>
    </row>
    <row r="20" spans="2:6" x14ac:dyDescent="0.35">
      <c r="B20" s="23"/>
      <c r="C20" s="23"/>
      <c r="D20" s="23"/>
      <c r="E20" s="23"/>
      <c r="F20" s="23"/>
    </row>
    <row r="21" spans="2:6" s="60" customFormat="1" ht="30" x14ac:dyDescent="0.35">
      <c r="B21" s="37" t="s">
        <v>0</v>
      </c>
      <c r="C21" s="59" t="s">
        <v>156</v>
      </c>
      <c r="D21" s="59" t="s">
        <v>65</v>
      </c>
      <c r="E21" s="55" t="s">
        <v>223</v>
      </c>
      <c r="F21" s="55"/>
    </row>
    <row r="22" spans="2:6" s="61" customFormat="1" ht="30" x14ac:dyDescent="0.35">
      <c r="B22" s="37"/>
      <c r="C22" s="59" t="s">
        <v>220</v>
      </c>
      <c r="D22" s="59" t="s">
        <v>221</v>
      </c>
      <c r="E22" s="62">
        <v>30</v>
      </c>
      <c r="F22" s="62"/>
    </row>
    <row r="23" spans="2:6" s="61" customFormat="1" ht="30" x14ac:dyDescent="0.35">
      <c r="B23" s="37"/>
      <c r="C23" s="59" t="s">
        <v>222</v>
      </c>
      <c r="D23" s="59" t="s">
        <v>65</v>
      </c>
      <c r="E23" s="62" t="s">
        <v>223</v>
      </c>
      <c r="F23" s="62"/>
    </row>
    <row r="24" spans="2:6" s="61" customFormat="1" ht="45" x14ac:dyDescent="0.35">
      <c r="B24" s="37"/>
      <c r="C24" s="63" t="s">
        <v>199</v>
      </c>
      <c r="D24" s="59" t="s">
        <v>185</v>
      </c>
      <c r="E24" s="62" t="s">
        <v>240</v>
      </c>
      <c r="F24" s="62"/>
    </row>
    <row r="25" spans="2:6" s="60" customFormat="1" x14ac:dyDescent="0.35">
      <c r="B25" s="37"/>
      <c r="C25" s="59" t="s">
        <v>90</v>
      </c>
      <c r="D25" s="59" t="s">
        <v>65</v>
      </c>
      <c r="E25" s="55" t="s">
        <v>223</v>
      </c>
      <c r="F25" s="55"/>
    </row>
    <row r="26" spans="2:6" s="61" customFormat="1" ht="30" x14ac:dyDescent="0.35">
      <c r="B26" s="37"/>
      <c r="C26" s="59" t="s">
        <v>113</v>
      </c>
      <c r="D26" s="59" t="s">
        <v>61</v>
      </c>
      <c r="E26" s="62">
        <v>5</v>
      </c>
      <c r="F26" s="62"/>
    </row>
    <row r="27" spans="2:6" s="61" customFormat="1" x14ac:dyDescent="0.35">
      <c r="B27" s="37"/>
      <c r="C27" s="59" t="s">
        <v>93</v>
      </c>
      <c r="D27" s="59" t="s">
        <v>61</v>
      </c>
      <c r="E27" s="62">
        <v>30</v>
      </c>
      <c r="F27" s="62"/>
    </row>
    <row r="28" spans="2:6" s="61" customFormat="1" x14ac:dyDescent="0.35">
      <c r="B28" s="37"/>
      <c r="C28" s="59" t="s">
        <v>218</v>
      </c>
      <c r="D28" s="59" t="s">
        <v>65</v>
      </c>
      <c r="E28" s="62" t="s">
        <v>223</v>
      </c>
      <c r="F28" s="62"/>
    </row>
    <row r="29" spans="2:6" s="61" customFormat="1" x14ac:dyDescent="0.35">
      <c r="B29" s="37"/>
      <c r="C29" s="59" t="s">
        <v>94</v>
      </c>
      <c r="D29" s="59" t="s">
        <v>61</v>
      </c>
      <c r="E29" s="62">
        <v>30</v>
      </c>
      <c r="F29" s="62"/>
    </row>
    <row r="30" spans="2:6" s="61" customFormat="1" ht="30" x14ac:dyDescent="0.35">
      <c r="B30" s="37"/>
      <c r="C30" s="59" t="s">
        <v>186</v>
      </c>
      <c r="D30" s="59" t="s">
        <v>187</v>
      </c>
      <c r="E30" s="62" t="s">
        <v>241</v>
      </c>
      <c r="F30" s="62"/>
    </row>
    <row r="31" spans="2:6" s="38" customFormat="1" x14ac:dyDescent="0.35">
      <c r="B31" s="37"/>
      <c r="C31" s="21" t="s">
        <v>188</v>
      </c>
      <c r="D31" s="21" t="s">
        <v>187</v>
      </c>
      <c r="E31" s="39" t="s">
        <v>242</v>
      </c>
      <c r="F31" s="39"/>
    </row>
    <row r="32" spans="2:6" s="38" customFormat="1" x14ac:dyDescent="0.35">
      <c r="B32" s="37"/>
      <c r="C32" s="21" t="s">
        <v>157</v>
      </c>
      <c r="D32" s="21" t="s">
        <v>65</v>
      </c>
      <c r="E32" s="39" t="s">
        <v>223</v>
      </c>
      <c r="F32" s="39"/>
    </row>
    <row r="33" spans="2:6" x14ac:dyDescent="0.35">
      <c r="B33" s="23"/>
      <c r="C33" s="23"/>
      <c r="D33" s="23"/>
      <c r="E33" s="23"/>
      <c r="F33" s="23"/>
    </row>
    <row r="34" spans="2:6" ht="45" x14ac:dyDescent="0.35">
      <c r="B34" s="52" t="s">
        <v>58</v>
      </c>
      <c r="C34" s="18" t="s">
        <v>91</v>
      </c>
      <c r="D34" s="18" t="s">
        <v>61</v>
      </c>
      <c r="E34" s="19">
        <v>25</v>
      </c>
      <c r="F34" s="19"/>
    </row>
    <row r="35" spans="2:6" ht="30" x14ac:dyDescent="0.35">
      <c r="B35" s="37"/>
      <c r="C35" s="18" t="s">
        <v>92</v>
      </c>
      <c r="D35" s="18" t="s">
        <v>65</v>
      </c>
      <c r="E35" s="19" t="s">
        <v>223</v>
      </c>
      <c r="F35" s="19"/>
    </row>
    <row r="36" spans="2:6" ht="30" customHeight="1" x14ac:dyDescent="0.35"/>
    <row r="37" spans="2:6" ht="30" customHeight="1" x14ac:dyDescent="0.35"/>
    <row r="38" spans="2:6" ht="30" customHeight="1" x14ac:dyDescent="0.35"/>
    <row r="39" spans="2:6" ht="30" customHeight="1" x14ac:dyDescent="0.35"/>
    <row r="40" spans="2:6" ht="30" customHeight="1" x14ac:dyDescent="0.35"/>
    <row r="41" spans="2:6" ht="30" customHeight="1" x14ac:dyDescent="0.35"/>
    <row r="42" spans="2:6" ht="30" customHeight="1" x14ac:dyDescent="0.35"/>
    <row r="43" spans="2:6" ht="30" customHeight="1" x14ac:dyDescent="0.35"/>
    <row r="44" spans="2:6" ht="30" customHeight="1" x14ac:dyDescent="0.35"/>
    <row r="45" spans="2:6" ht="30" customHeight="1" x14ac:dyDescent="0.35"/>
    <row r="46" spans="2:6" ht="30" customHeight="1" x14ac:dyDescent="0.35"/>
    <row r="47" spans="2:6" ht="30" customHeight="1" x14ac:dyDescent="0.35"/>
    <row r="48" spans="2:6" ht="30" customHeight="1" x14ac:dyDescent="0.35"/>
    <row r="49" ht="30" customHeight="1" x14ac:dyDescent="0.35"/>
    <row r="50" ht="30" customHeight="1" x14ac:dyDescent="0.35"/>
    <row r="51" ht="30" customHeight="1" x14ac:dyDescent="0.35"/>
    <row r="52" ht="30" customHeight="1" x14ac:dyDescent="0.35"/>
    <row r="53" ht="30" customHeight="1" x14ac:dyDescent="0.35"/>
    <row r="54" ht="30" customHeight="1" x14ac:dyDescent="0.35"/>
    <row r="55" ht="30" customHeight="1" x14ac:dyDescent="0.35"/>
    <row r="56" ht="30" customHeight="1" x14ac:dyDescent="0.35"/>
    <row r="57" ht="30" customHeight="1" x14ac:dyDescent="0.35"/>
    <row r="58" ht="30" customHeight="1" x14ac:dyDescent="0.35"/>
    <row r="59" ht="30" customHeight="1" x14ac:dyDescent="0.35"/>
    <row r="60" ht="30" customHeight="1" x14ac:dyDescent="0.35"/>
    <row r="61" ht="30" customHeight="1" x14ac:dyDescent="0.35"/>
    <row r="62" ht="30" customHeight="1" x14ac:dyDescent="0.35"/>
    <row r="63" ht="30" customHeight="1" x14ac:dyDescent="0.35"/>
    <row r="64" ht="30" customHeight="1" x14ac:dyDescent="0.35"/>
    <row r="65" ht="30" customHeight="1" x14ac:dyDescent="0.35"/>
    <row r="66" ht="30" customHeight="1" x14ac:dyDescent="0.35"/>
    <row r="67" ht="30" customHeight="1" x14ac:dyDescent="0.35"/>
    <row r="68" ht="30" customHeight="1" x14ac:dyDescent="0.35"/>
    <row r="69" ht="30" customHeight="1" x14ac:dyDescent="0.35"/>
    <row r="70" ht="30" customHeight="1" x14ac:dyDescent="0.35"/>
    <row r="71" ht="30" customHeight="1" x14ac:dyDescent="0.35"/>
    <row r="72" ht="30" customHeight="1" x14ac:dyDescent="0.35"/>
    <row r="73" ht="30" customHeight="1" x14ac:dyDescent="0.35"/>
    <row r="74" ht="30" customHeight="1" x14ac:dyDescent="0.35"/>
    <row r="75" ht="30" customHeight="1" x14ac:dyDescent="0.35"/>
    <row r="76" ht="30" customHeight="1" x14ac:dyDescent="0.35"/>
    <row r="77" ht="30" customHeight="1" x14ac:dyDescent="0.35"/>
    <row r="78" ht="30" customHeight="1" x14ac:dyDescent="0.35"/>
    <row r="79" ht="30" customHeight="1" x14ac:dyDescent="0.35"/>
    <row r="80" ht="30" customHeight="1" x14ac:dyDescent="0.35"/>
    <row r="81" ht="30" customHeight="1" x14ac:dyDescent="0.35"/>
    <row r="82" ht="30" customHeight="1" x14ac:dyDescent="0.35"/>
    <row r="83" ht="30" customHeight="1" x14ac:dyDescent="0.35"/>
    <row r="84" ht="30" customHeight="1" x14ac:dyDescent="0.35"/>
    <row r="85" ht="30" customHeight="1" x14ac:dyDescent="0.35"/>
    <row r="86" ht="30" customHeight="1" x14ac:dyDescent="0.35"/>
    <row r="87" ht="30" customHeight="1" x14ac:dyDescent="0.35"/>
    <row r="88" ht="30" customHeight="1" x14ac:dyDescent="0.35"/>
    <row r="89" ht="30" customHeight="1" x14ac:dyDescent="0.35"/>
    <row r="90" ht="30" customHeight="1" x14ac:dyDescent="0.35"/>
    <row r="91" ht="30" customHeight="1" x14ac:dyDescent="0.35"/>
    <row r="92" ht="30" customHeight="1" x14ac:dyDescent="0.35"/>
    <row r="93" ht="30" customHeight="1" x14ac:dyDescent="0.35"/>
    <row r="94" ht="30" customHeight="1" x14ac:dyDescent="0.35"/>
    <row r="95" ht="30" customHeight="1" x14ac:dyDescent="0.35"/>
    <row r="96" ht="30" customHeight="1" x14ac:dyDescent="0.35"/>
    <row r="97" ht="30" customHeight="1" x14ac:dyDescent="0.35"/>
    <row r="98" ht="30" customHeight="1" x14ac:dyDescent="0.35"/>
    <row r="99" ht="30" customHeight="1" x14ac:dyDescent="0.35"/>
    <row r="100" ht="30" customHeight="1" x14ac:dyDescent="0.35"/>
    <row r="101" ht="30" customHeight="1" x14ac:dyDescent="0.35"/>
    <row r="102" ht="30" customHeight="1" x14ac:dyDescent="0.35"/>
    <row r="103" ht="30" customHeight="1" x14ac:dyDescent="0.35"/>
    <row r="104" ht="30" customHeight="1" x14ac:dyDescent="0.35"/>
    <row r="105" ht="30" customHeight="1" x14ac:dyDescent="0.35"/>
    <row r="106" ht="30" customHeight="1" x14ac:dyDescent="0.35"/>
    <row r="107" ht="30" customHeight="1" x14ac:dyDescent="0.35"/>
    <row r="108" ht="30" customHeight="1" x14ac:dyDescent="0.35"/>
    <row r="109" ht="30" customHeight="1" x14ac:dyDescent="0.35"/>
    <row r="110" ht="30" customHeight="1" x14ac:dyDescent="0.35"/>
    <row r="111" ht="30" customHeight="1" x14ac:dyDescent="0.35"/>
    <row r="112" ht="30" customHeight="1" x14ac:dyDescent="0.35"/>
    <row r="113" ht="30" customHeight="1" x14ac:dyDescent="0.35"/>
    <row r="114" ht="30" customHeight="1" x14ac:dyDescent="0.35"/>
    <row r="115" ht="30" customHeight="1" x14ac:dyDescent="0.35"/>
    <row r="116" ht="30" customHeight="1" x14ac:dyDescent="0.35"/>
    <row r="117" ht="30" customHeight="1" x14ac:dyDescent="0.35"/>
    <row r="118" ht="30" customHeight="1" x14ac:dyDescent="0.35"/>
    <row r="119" ht="30" customHeight="1" x14ac:dyDescent="0.35"/>
    <row r="120" ht="30" customHeight="1" x14ac:dyDescent="0.35"/>
    <row r="121" ht="30" customHeight="1" x14ac:dyDescent="0.35"/>
    <row r="122" ht="30" customHeight="1" x14ac:dyDescent="0.35"/>
    <row r="123" ht="30" customHeight="1" x14ac:dyDescent="0.35"/>
    <row r="124" ht="30" customHeight="1" x14ac:dyDescent="0.35"/>
    <row r="125" ht="30" customHeight="1" x14ac:dyDescent="0.35"/>
    <row r="126" ht="30" customHeight="1" x14ac:dyDescent="0.35"/>
    <row r="127" ht="30" customHeight="1" x14ac:dyDescent="0.35"/>
    <row r="128" ht="30" customHeight="1" x14ac:dyDescent="0.35"/>
    <row r="129" ht="30" customHeight="1" x14ac:dyDescent="0.35"/>
    <row r="130" ht="30" customHeight="1" x14ac:dyDescent="0.35"/>
    <row r="131" ht="30" customHeight="1" x14ac:dyDescent="0.35"/>
    <row r="132" ht="30" customHeight="1" x14ac:dyDescent="0.35"/>
    <row r="133" ht="30" customHeight="1" x14ac:dyDescent="0.35"/>
    <row r="134" ht="30" customHeight="1" x14ac:dyDescent="0.35"/>
    <row r="135" ht="30" customHeight="1" x14ac:dyDescent="0.35"/>
    <row r="136" ht="30" customHeight="1" x14ac:dyDescent="0.35"/>
    <row r="137" ht="30" customHeight="1" x14ac:dyDescent="0.35"/>
    <row r="138" ht="30" customHeight="1" x14ac:dyDescent="0.35"/>
    <row r="139" ht="30" customHeight="1" x14ac:dyDescent="0.35"/>
    <row r="140" ht="30" customHeight="1" x14ac:dyDescent="0.35"/>
    <row r="141" ht="30" customHeight="1" x14ac:dyDescent="0.35"/>
    <row r="142" ht="30" customHeight="1" x14ac:dyDescent="0.35"/>
    <row r="143" ht="30" customHeight="1" x14ac:dyDescent="0.35"/>
    <row r="144" ht="30" customHeight="1" x14ac:dyDescent="0.35"/>
    <row r="145" ht="30" customHeight="1" x14ac:dyDescent="0.35"/>
    <row r="146" ht="30" customHeight="1" x14ac:dyDescent="0.35"/>
    <row r="147" ht="30" customHeight="1" x14ac:dyDescent="0.35"/>
    <row r="148" ht="30" customHeight="1" x14ac:dyDescent="0.35"/>
    <row r="149" ht="30" customHeight="1" x14ac:dyDescent="0.35"/>
    <row r="150" ht="30" customHeight="1" x14ac:dyDescent="0.35"/>
    <row r="151" ht="30" customHeight="1" x14ac:dyDescent="0.35"/>
    <row r="152" ht="30" customHeight="1" x14ac:dyDescent="0.35"/>
    <row r="153" ht="30" customHeight="1" x14ac:dyDescent="0.35"/>
    <row r="154" ht="30" customHeight="1" x14ac:dyDescent="0.35"/>
    <row r="155" ht="30" customHeight="1" x14ac:dyDescent="0.35"/>
    <row r="156" ht="30" customHeight="1" x14ac:dyDescent="0.35"/>
    <row r="157" ht="30" customHeight="1" x14ac:dyDescent="0.35"/>
    <row r="158" ht="30" customHeight="1" x14ac:dyDescent="0.35"/>
    <row r="159" ht="30" customHeight="1" x14ac:dyDescent="0.35"/>
    <row r="160" ht="30" customHeight="1" x14ac:dyDescent="0.35"/>
    <row r="161" ht="30" customHeight="1" x14ac:dyDescent="0.35"/>
    <row r="162" ht="30" customHeight="1" x14ac:dyDescent="0.35"/>
    <row r="163" ht="30" customHeight="1" x14ac:dyDescent="0.35"/>
    <row r="164" ht="30" customHeight="1" x14ac:dyDescent="0.35"/>
    <row r="165" ht="30" customHeight="1" x14ac:dyDescent="0.35"/>
    <row r="166" ht="30" customHeight="1" x14ac:dyDescent="0.35"/>
    <row r="167" ht="30" customHeight="1" x14ac:dyDescent="0.35"/>
    <row r="168" ht="30" customHeight="1" x14ac:dyDescent="0.35"/>
    <row r="169" ht="30" customHeight="1" x14ac:dyDescent="0.35"/>
    <row r="170" ht="30" customHeight="1" x14ac:dyDescent="0.35"/>
    <row r="171" ht="30" customHeight="1" x14ac:dyDescent="0.35"/>
    <row r="172" ht="30" customHeight="1" x14ac:dyDescent="0.35"/>
    <row r="173" ht="30" customHeight="1" x14ac:dyDescent="0.35"/>
    <row r="174" ht="30" customHeight="1" x14ac:dyDescent="0.35"/>
    <row r="175" ht="30" customHeight="1" x14ac:dyDescent="0.35"/>
    <row r="176" ht="30" customHeight="1" x14ac:dyDescent="0.35"/>
    <row r="177" ht="30" customHeight="1" x14ac:dyDescent="0.35"/>
    <row r="178" ht="30" customHeight="1" x14ac:dyDescent="0.35"/>
    <row r="179" ht="30" customHeight="1" x14ac:dyDescent="0.35"/>
    <row r="180" ht="30" customHeight="1" x14ac:dyDescent="0.35"/>
    <row r="181" ht="30" customHeight="1" x14ac:dyDescent="0.35"/>
    <row r="182" ht="30" customHeight="1" x14ac:dyDescent="0.35"/>
    <row r="183" ht="30" customHeight="1" x14ac:dyDescent="0.35"/>
    <row r="184" ht="30" customHeight="1" x14ac:dyDescent="0.35"/>
    <row r="185" ht="30" customHeight="1" x14ac:dyDescent="0.35"/>
    <row r="186" ht="30" customHeight="1" x14ac:dyDescent="0.35"/>
    <row r="187" ht="30" customHeight="1" x14ac:dyDescent="0.35"/>
    <row r="188" ht="30" customHeight="1" x14ac:dyDescent="0.35"/>
    <row r="189" ht="30" customHeight="1" x14ac:dyDescent="0.35"/>
    <row r="190" ht="30" customHeight="1" x14ac:dyDescent="0.35"/>
    <row r="191" ht="30" customHeight="1" x14ac:dyDescent="0.35"/>
    <row r="192" ht="30" customHeight="1" x14ac:dyDescent="0.35"/>
    <row r="193" ht="30" customHeight="1" x14ac:dyDescent="0.35"/>
    <row r="194" ht="30" customHeight="1" x14ac:dyDescent="0.35"/>
    <row r="195" ht="30" customHeight="1" x14ac:dyDescent="0.35"/>
    <row r="196" ht="30" customHeight="1" x14ac:dyDescent="0.35"/>
    <row r="197" ht="30" customHeight="1" x14ac:dyDescent="0.35"/>
    <row r="198" ht="30" customHeight="1" x14ac:dyDescent="0.35"/>
    <row r="199" ht="30" customHeight="1" x14ac:dyDescent="0.35"/>
    <row r="200" ht="30" customHeight="1" x14ac:dyDescent="0.35"/>
    <row r="201" ht="30" customHeight="1" x14ac:dyDescent="0.35"/>
    <row r="202" ht="30" customHeight="1" x14ac:dyDescent="0.35"/>
    <row r="203" ht="30" customHeight="1" x14ac:dyDescent="0.35"/>
    <row r="204" ht="30" customHeight="1" x14ac:dyDescent="0.35"/>
    <row r="205" ht="30" customHeight="1" x14ac:dyDescent="0.35"/>
    <row r="206" ht="30" customHeight="1" x14ac:dyDescent="0.35"/>
    <row r="207" ht="30" customHeight="1" x14ac:dyDescent="0.35"/>
    <row r="208" ht="30" customHeight="1" x14ac:dyDescent="0.35"/>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row r="235" ht="30" customHeight="1" x14ac:dyDescent="0.35"/>
    <row r="236" ht="30" customHeight="1" x14ac:dyDescent="0.35"/>
    <row r="237" ht="30" customHeight="1" x14ac:dyDescent="0.35"/>
    <row r="238" ht="30" customHeight="1" x14ac:dyDescent="0.35"/>
    <row r="239" ht="30" customHeight="1" x14ac:dyDescent="0.35"/>
    <row r="240" ht="30" customHeight="1" x14ac:dyDescent="0.35"/>
    <row r="241" ht="30" customHeight="1" x14ac:dyDescent="0.35"/>
    <row r="242" ht="30" customHeight="1" x14ac:dyDescent="0.35"/>
    <row r="243" ht="30" customHeight="1" x14ac:dyDescent="0.35"/>
    <row r="244" ht="30" customHeight="1" x14ac:dyDescent="0.35"/>
    <row r="245" ht="30" customHeight="1" x14ac:dyDescent="0.35"/>
    <row r="246" ht="30" customHeight="1" x14ac:dyDescent="0.35"/>
    <row r="247" ht="30" customHeight="1" x14ac:dyDescent="0.35"/>
    <row r="248" ht="30" customHeight="1" x14ac:dyDescent="0.35"/>
    <row r="249" ht="30" customHeight="1" x14ac:dyDescent="0.35"/>
    <row r="250" ht="30" customHeight="1" x14ac:dyDescent="0.35"/>
    <row r="251" ht="30" customHeight="1" x14ac:dyDescent="0.35"/>
    <row r="252" ht="30" customHeight="1" x14ac:dyDescent="0.35"/>
    <row r="253" ht="30" customHeight="1" x14ac:dyDescent="0.35"/>
    <row r="254" ht="30" customHeight="1" x14ac:dyDescent="0.35"/>
    <row r="255" ht="30" customHeight="1" x14ac:dyDescent="0.35"/>
    <row r="256" ht="30" customHeight="1" x14ac:dyDescent="0.35"/>
    <row r="257" ht="30" customHeight="1" x14ac:dyDescent="0.35"/>
    <row r="258" ht="30" customHeight="1" x14ac:dyDescent="0.35"/>
    <row r="259" ht="30" customHeight="1" x14ac:dyDescent="0.35"/>
    <row r="260" ht="30" customHeight="1" x14ac:dyDescent="0.35"/>
    <row r="261" ht="30" customHeight="1" x14ac:dyDescent="0.35"/>
    <row r="262" ht="30" customHeight="1" x14ac:dyDescent="0.35"/>
    <row r="263" ht="30" customHeight="1" x14ac:dyDescent="0.35"/>
    <row r="264" ht="30" customHeight="1" x14ac:dyDescent="0.35"/>
    <row r="265" ht="30" customHeight="1" x14ac:dyDescent="0.35"/>
    <row r="266" ht="30" customHeight="1" x14ac:dyDescent="0.35"/>
    <row r="267" ht="30" customHeight="1" x14ac:dyDescent="0.35"/>
    <row r="268" ht="30" customHeight="1" x14ac:dyDescent="0.35"/>
    <row r="269" ht="30" customHeight="1" x14ac:dyDescent="0.35"/>
    <row r="270" ht="30" customHeight="1" x14ac:dyDescent="0.35"/>
    <row r="271" ht="30" customHeight="1" x14ac:dyDescent="0.35"/>
    <row r="272" ht="30" customHeight="1" x14ac:dyDescent="0.35"/>
    <row r="273" ht="30" customHeight="1" x14ac:dyDescent="0.35"/>
    <row r="274" ht="30" customHeight="1" x14ac:dyDescent="0.35"/>
    <row r="275" ht="30" customHeight="1" x14ac:dyDescent="0.35"/>
    <row r="276" ht="30" customHeight="1" x14ac:dyDescent="0.35"/>
    <row r="277" ht="30" customHeight="1" x14ac:dyDescent="0.35"/>
    <row r="278" ht="30" customHeight="1" x14ac:dyDescent="0.35"/>
    <row r="279" ht="30" customHeight="1" x14ac:dyDescent="0.35"/>
    <row r="280" ht="30" customHeight="1" x14ac:dyDescent="0.35"/>
    <row r="281" ht="30" customHeight="1" x14ac:dyDescent="0.35"/>
    <row r="282" ht="30" customHeight="1" x14ac:dyDescent="0.35"/>
    <row r="283" ht="30" customHeight="1" x14ac:dyDescent="0.35"/>
    <row r="284" ht="30" customHeight="1" x14ac:dyDescent="0.35"/>
    <row r="285" ht="30" customHeight="1" x14ac:dyDescent="0.35"/>
    <row r="286" ht="30" customHeight="1" x14ac:dyDescent="0.35"/>
    <row r="287" ht="30" customHeight="1" x14ac:dyDescent="0.35"/>
    <row r="288" ht="30" customHeight="1" x14ac:dyDescent="0.35"/>
    <row r="289" ht="30" customHeight="1" x14ac:dyDescent="0.35"/>
    <row r="290" ht="30" customHeight="1" x14ac:dyDescent="0.35"/>
    <row r="291" ht="30" customHeight="1" x14ac:dyDescent="0.35"/>
    <row r="292" ht="30" customHeight="1" x14ac:dyDescent="0.35"/>
    <row r="293" ht="30" customHeight="1" x14ac:dyDescent="0.35"/>
    <row r="294" ht="30" customHeight="1" x14ac:dyDescent="0.35"/>
    <row r="295" ht="30" customHeight="1" x14ac:dyDescent="0.35"/>
    <row r="296" ht="30" customHeight="1" x14ac:dyDescent="0.35"/>
    <row r="297" ht="30" customHeight="1" x14ac:dyDescent="0.35"/>
    <row r="298" ht="30" customHeight="1" x14ac:dyDescent="0.35"/>
    <row r="299" ht="30" customHeight="1" x14ac:dyDescent="0.35"/>
    <row r="300" ht="30" customHeight="1" x14ac:dyDescent="0.35"/>
    <row r="301" ht="30" customHeight="1" x14ac:dyDescent="0.35"/>
    <row r="302" ht="30" customHeight="1" x14ac:dyDescent="0.35"/>
    <row r="303" ht="30" customHeight="1" x14ac:dyDescent="0.35"/>
    <row r="304" ht="30" customHeight="1" x14ac:dyDescent="0.35"/>
    <row r="305" ht="30" customHeight="1" x14ac:dyDescent="0.35"/>
    <row r="306" ht="30" customHeight="1" x14ac:dyDescent="0.35"/>
    <row r="307" ht="30" customHeight="1" x14ac:dyDescent="0.35"/>
    <row r="308" ht="30" customHeight="1" x14ac:dyDescent="0.35"/>
    <row r="309" ht="30" customHeight="1" x14ac:dyDescent="0.35"/>
    <row r="310" ht="30" customHeight="1" x14ac:dyDescent="0.35"/>
    <row r="311" ht="30" customHeight="1" x14ac:dyDescent="0.35"/>
    <row r="312" ht="30" customHeight="1" x14ac:dyDescent="0.35"/>
    <row r="313" ht="30" customHeight="1" x14ac:dyDescent="0.35"/>
    <row r="314" ht="30" customHeight="1" x14ac:dyDescent="0.35"/>
    <row r="315" ht="30" customHeight="1" x14ac:dyDescent="0.35"/>
    <row r="316" ht="30" customHeight="1" x14ac:dyDescent="0.35"/>
    <row r="317" ht="30" customHeight="1" x14ac:dyDescent="0.35"/>
    <row r="318" ht="30" customHeight="1" x14ac:dyDescent="0.35"/>
    <row r="319" ht="30" customHeight="1" x14ac:dyDescent="0.35"/>
    <row r="320" ht="30" customHeight="1" x14ac:dyDescent="0.35"/>
    <row r="321" ht="30" customHeight="1" x14ac:dyDescent="0.35"/>
    <row r="322" ht="30" customHeight="1" x14ac:dyDescent="0.35"/>
    <row r="323" ht="30" customHeight="1" x14ac:dyDescent="0.35"/>
    <row r="324" ht="30" customHeight="1" x14ac:dyDescent="0.35"/>
    <row r="325" ht="30" customHeight="1" x14ac:dyDescent="0.35"/>
    <row r="326" ht="30" customHeight="1" x14ac:dyDescent="0.35"/>
    <row r="327" ht="30" customHeight="1" x14ac:dyDescent="0.35"/>
    <row r="328" ht="30" customHeight="1" x14ac:dyDescent="0.35"/>
    <row r="329" ht="30" customHeight="1" x14ac:dyDescent="0.35"/>
    <row r="330" ht="30" customHeight="1" x14ac:dyDescent="0.35"/>
    <row r="331" ht="30" customHeight="1" x14ac:dyDescent="0.35"/>
    <row r="332" ht="30" customHeight="1" x14ac:dyDescent="0.35"/>
    <row r="333" ht="30" customHeight="1" x14ac:dyDescent="0.35"/>
    <row r="334" ht="30" customHeight="1" x14ac:dyDescent="0.35"/>
    <row r="335" ht="30" customHeight="1" x14ac:dyDescent="0.35"/>
    <row r="336" ht="30" customHeight="1" x14ac:dyDescent="0.35"/>
    <row r="337" ht="30" customHeight="1" x14ac:dyDescent="0.35"/>
    <row r="338" ht="30" customHeight="1" x14ac:dyDescent="0.35"/>
    <row r="339" ht="30" customHeight="1" x14ac:dyDescent="0.35"/>
    <row r="340" ht="30" customHeight="1" x14ac:dyDescent="0.35"/>
    <row r="341" ht="30" customHeight="1" x14ac:dyDescent="0.35"/>
    <row r="342" ht="30" customHeight="1" x14ac:dyDescent="0.35"/>
    <row r="343" ht="30" customHeight="1" x14ac:dyDescent="0.35"/>
    <row r="344" ht="30" customHeight="1" x14ac:dyDescent="0.35"/>
    <row r="345" ht="30" customHeight="1" x14ac:dyDescent="0.35"/>
    <row r="346" ht="30" customHeight="1" x14ac:dyDescent="0.35"/>
    <row r="347" ht="30" customHeight="1" x14ac:dyDescent="0.35"/>
    <row r="348" ht="30" customHeight="1" x14ac:dyDescent="0.35"/>
    <row r="349" ht="30" customHeight="1" x14ac:dyDescent="0.35"/>
    <row r="350" ht="30" customHeight="1" x14ac:dyDescent="0.35"/>
    <row r="351" ht="30" customHeight="1" x14ac:dyDescent="0.35"/>
    <row r="352" ht="30" customHeight="1" x14ac:dyDescent="0.35"/>
    <row r="353" ht="30" customHeight="1" x14ac:dyDescent="0.35"/>
    <row r="354" ht="30" customHeight="1" x14ac:dyDescent="0.35"/>
    <row r="355" ht="30" customHeight="1" x14ac:dyDescent="0.35"/>
    <row r="356" ht="30" customHeight="1" x14ac:dyDescent="0.35"/>
    <row r="357" ht="30" customHeight="1" x14ac:dyDescent="0.35"/>
    <row r="358" ht="30" customHeight="1" x14ac:dyDescent="0.35"/>
    <row r="359" ht="30" customHeight="1" x14ac:dyDescent="0.35"/>
    <row r="360" ht="30" customHeight="1" x14ac:dyDescent="0.35"/>
    <row r="361" ht="30" customHeight="1" x14ac:dyDescent="0.35"/>
    <row r="362" ht="30" customHeight="1" x14ac:dyDescent="0.35"/>
    <row r="363" ht="30" customHeight="1" x14ac:dyDescent="0.35"/>
    <row r="364" ht="30" customHeight="1" x14ac:dyDescent="0.35"/>
    <row r="365" ht="30" customHeight="1" x14ac:dyDescent="0.35"/>
    <row r="366" ht="30" customHeight="1" x14ac:dyDescent="0.35"/>
    <row r="367" ht="30" customHeight="1" x14ac:dyDescent="0.35"/>
    <row r="368" ht="30" customHeight="1" x14ac:dyDescent="0.35"/>
    <row r="369" ht="30" customHeight="1" x14ac:dyDescent="0.35"/>
    <row r="370" ht="30" customHeight="1" x14ac:dyDescent="0.35"/>
    <row r="371" ht="30" customHeight="1" x14ac:dyDescent="0.35"/>
    <row r="372" ht="30" customHeight="1" x14ac:dyDescent="0.35"/>
    <row r="373" ht="30" customHeight="1" x14ac:dyDescent="0.35"/>
    <row r="374" ht="30" customHeight="1" x14ac:dyDescent="0.35"/>
    <row r="375" ht="30" customHeight="1" x14ac:dyDescent="0.35"/>
    <row r="376" ht="30" customHeight="1" x14ac:dyDescent="0.35"/>
    <row r="377" ht="30" customHeight="1" x14ac:dyDescent="0.35"/>
    <row r="378" ht="30" customHeight="1" x14ac:dyDescent="0.35"/>
    <row r="379" ht="30" customHeight="1" x14ac:dyDescent="0.35"/>
    <row r="380" ht="30" customHeight="1" x14ac:dyDescent="0.35"/>
    <row r="381" ht="30" customHeight="1" x14ac:dyDescent="0.35"/>
    <row r="382" ht="30" customHeight="1" x14ac:dyDescent="0.35"/>
    <row r="383" ht="30" customHeight="1" x14ac:dyDescent="0.35"/>
    <row r="384" ht="30" customHeight="1" x14ac:dyDescent="0.35"/>
    <row r="385" ht="30" customHeight="1" x14ac:dyDescent="0.35"/>
    <row r="386" ht="30" customHeight="1" x14ac:dyDescent="0.35"/>
    <row r="387" ht="30" customHeight="1" x14ac:dyDescent="0.35"/>
    <row r="388" ht="30" customHeight="1" x14ac:dyDescent="0.35"/>
    <row r="389" ht="30" customHeight="1" x14ac:dyDescent="0.35"/>
    <row r="390" ht="30" customHeight="1" x14ac:dyDescent="0.35"/>
    <row r="391" ht="30" customHeight="1" x14ac:dyDescent="0.35"/>
    <row r="392" ht="30" customHeight="1" x14ac:dyDescent="0.35"/>
    <row r="393" ht="30" customHeight="1" x14ac:dyDescent="0.35"/>
    <row r="394" ht="30" customHeight="1" x14ac:dyDescent="0.35"/>
    <row r="395" ht="30" customHeight="1" x14ac:dyDescent="0.35"/>
    <row r="396" ht="30" customHeight="1" x14ac:dyDescent="0.35"/>
    <row r="397" ht="30" customHeight="1" x14ac:dyDescent="0.35"/>
    <row r="398" ht="30" customHeight="1" x14ac:dyDescent="0.35"/>
    <row r="399" ht="30" customHeight="1" x14ac:dyDescent="0.35"/>
    <row r="400" ht="30" customHeight="1" x14ac:dyDescent="0.35"/>
    <row r="401" ht="30" customHeight="1" x14ac:dyDescent="0.35"/>
    <row r="402" ht="30" customHeight="1" x14ac:dyDescent="0.35"/>
    <row r="403" ht="30" customHeight="1" x14ac:dyDescent="0.35"/>
    <row r="404" ht="30" customHeight="1" x14ac:dyDescent="0.35"/>
    <row r="405" ht="30" customHeight="1" x14ac:dyDescent="0.35"/>
    <row r="406" ht="30" customHeight="1" x14ac:dyDescent="0.35"/>
    <row r="407" ht="30" customHeight="1" x14ac:dyDescent="0.35"/>
    <row r="408" ht="30" customHeight="1" x14ac:dyDescent="0.35"/>
    <row r="409" ht="30" customHeight="1" x14ac:dyDescent="0.35"/>
    <row r="410" ht="30" customHeight="1" x14ac:dyDescent="0.35"/>
    <row r="411" ht="30" customHeight="1" x14ac:dyDescent="0.35"/>
    <row r="412" ht="30" customHeight="1" x14ac:dyDescent="0.35"/>
    <row r="413" ht="30" customHeight="1" x14ac:dyDescent="0.35"/>
    <row r="414" ht="30" customHeight="1" x14ac:dyDescent="0.35"/>
    <row r="415" ht="30" customHeight="1" x14ac:dyDescent="0.35"/>
    <row r="416" ht="30" customHeight="1" x14ac:dyDescent="0.35"/>
    <row r="417" ht="30" customHeight="1" x14ac:dyDescent="0.35"/>
    <row r="418" ht="30" customHeight="1" x14ac:dyDescent="0.35"/>
    <row r="419" ht="30" customHeight="1" x14ac:dyDescent="0.35"/>
    <row r="420" ht="30" customHeight="1" x14ac:dyDescent="0.35"/>
    <row r="421" ht="30" customHeight="1" x14ac:dyDescent="0.35"/>
    <row r="422" ht="30" customHeight="1" x14ac:dyDescent="0.35"/>
    <row r="423" ht="30" customHeight="1" x14ac:dyDescent="0.35"/>
    <row r="424" ht="30" customHeight="1" x14ac:dyDescent="0.35"/>
    <row r="425" ht="30" customHeight="1" x14ac:dyDescent="0.35"/>
    <row r="426" ht="30" customHeight="1" x14ac:dyDescent="0.35"/>
    <row r="427" ht="30" customHeight="1" x14ac:dyDescent="0.35"/>
    <row r="428" ht="30" customHeight="1" x14ac:dyDescent="0.35"/>
    <row r="429" ht="30" customHeight="1" x14ac:dyDescent="0.35"/>
    <row r="430" ht="30" customHeight="1" x14ac:dyDescent="0.35"/>
    <row r="431" ht="30" customHeight="1" x14ac:dyDescent="0.35"/>
    <row r="432" ht="30" customHeight="1" x14ac:dyDescent="0.35"/>
    <row r="433" ht="30" customHeight="1" x14ac:dyDescent="0.35"/>
    <row r="434" ht="30" customHeight="1" x14ac:dyDescent="0.35"/>
    <row r="435" ht="30" customHeight="1" x14ac:dyDescent="0.35"/>
    <row r="436" ht="30" customHeight="1" x14ac:dyDescent="0.35"/>
    <row r="437" ht="30" customHeight="1" x14ac:dyDescent="0.35"/>
    <row r="438" ht="30" customHeight="1" x14ac:dyDescent="0.35"/>
    <row r="439" ht="30" customHeight="1" x14ac:dyDescent="0.35"/>
    <row r="440" ht="30" customHeight="1" x14ac:dyDescent="0.35"/>
    <row r="441" ht="30" customHeight="1" x14ac:dyDescent="0.35"/>
    <row r="442" ht="30" customHeight="1" x14ac:dyDescent="0.35"/>
    <row r="443" ht="30" customHeight="1" x14ac:dyDescent="0.35"/>
    <row r="444" ht="30" customHeight="1" x14ac:dyDescent="0.35"/>
    <row r="445" ht="30" customHeight="1" x14ac:dyDescent="0.35"/>
    <row r="446" ht="30" customHeight="1" x14ac:dyDescent="0.35"/>
    <row r="447" ht="30" customHeight="1" x14ac:dyDescent="0.35"/>
    <row r="448" ht="30" customHeight="1" x14ac:dyDescent="0.35"/>
    <row r="449" ht="30" customHeight="1" x14ac:dyDescent="0.35"/>
    <row r="450" ht="30" customHeight="1" x14ac:dyDescent="0.35"/>
    <row r="451" ht="30" customHeight="1" x14ac:dyDescent="0.35"/>
    <row r="452" ht="30" customHeight="1" x14ac:dyDescent="0.35"/>
    <row r="453" ht="30" customHeight="1" x14ac:dyDescent="0.35"/>
    <row r="454" ht="30" customHeight="1" x14ac:dyDescent="0.35"/>
    <row r="455" ht="30" customHeight="1" x14ac:dyDescent="0.35"/>
    <row r="456" ht="30" customHeight="1" x14ac:dyDescent="0.35"/>
    <row r="457" ht="30" customHeight="1" x14ac:dyDescent="0.35"/>
    <row r="458" ht="30" customHeight="1" x14ac:dyDescent="0.35"/>
    <row r="459" ht="30" customHeight="1" x14ac:dyDescent="0.35"/>
    <row r="460" ht="30" customHeight="1" x14ac:dyDescent="0.35"/>
    <row r="461" ht="30" customHeight="1" x14ac:dyDescent="0.35"/>
    <row r="462" ht="30" customHeight="1" x14ac:dyDescent="0.35"/>
    <row r="463" ht="30" customHeight="1" x14ac:dyDescent="0.35"/>
    <row r="464" ht="30" customHeight="1" x14ac:dyDescent="0.35"/>
    <row r="465" ht="30" customHeight="1" x14ac:dyDescent="0.35"/>
    <row r="466" ht="30" customHeight="1" x14ac:dyDescent="0.35"/>
    <row r="467" ht="30" customHeight="1" x14ac:dyDescent="0.35"/>
    <row r="468" ht="30" customHeight="1" x14ac:dyDescent="0.35"/>
    <row r="469" ht="30" customHeight="1" x14ac:dyDescent="0.35"/>
    <row r="470" ht="30" customHeight="1" x14ac:dyDescent="0.35"/>
    <row r="471" ht="30" customHeight="1" x14ac:dyDescent="0.35"/>
    <row r="472" ht="30" customHeight="1" x14ac:dyDescent="0.35"/>
    <row r="473" ht="30" customHeight="1" x14ac:dyDescent="0.35"/>
    <row r="474" ht="30" customHeight="1" x14ac:dyDescent="0.35"/>
    <row r="475" ht="30" customHeight="1" x14ac:dyDescent="0.35"/>
    <row r="476" ht="30" customHeight="1" x14ac:dyDescent="0.35"/>
    <row r="477" ht="30" customHeight="1" x14ac:dyDescent="0.35"/>
    <row r="478" ht="30" customHeight="1" x14ac:dyDescent="0.35"/>
    <row r="479" ht="30" customHeight="1" x14ac:dyDescent="0.35"/>
    <row r="480" ht="30" customHeight="1" x14ac:dyDescent="0.35"/>
    <row r="481" ht="30" customHeight="1" x14ac:dyDescent="0.35"/>
    <row r="482" ht="30" customHeight="1" x14ac:dyDescent="0.35"/>
    <row r="483" ht="30" customHeight="1" x14ac:dyDescent="0.35"/>
    <row r="484" ht="30" customHeight="1" x14ac:dyDescent="0.35"/>
    <row r="485" ht="30" customHeight="1" x14ac:dyDescent="0.35"/>
    <row r="486" ht="30" customHeight="1" x14ac:dyDescent="0.35"/>
    <row r="487" ht="30" customHeight="1" x14ac:dyDescent="0.35"/>
    <row r="488" ht="30" customHeight="1" x14ac:dyDescent="0.35"/>
    <row r="489" ht="30" customHeight="1" x14ac:dyDescent="0.35"/>
    <row r="490" ht="30" customHeight="1" x14ac:dyDescent="0.35"/>
    <row r="491" ht="30" customHeight="1" x14ac:dyDescent="0.35"/>
    <row r="492" ht="30" customHeight="1" x14ac:dyDescent="0.35"/>
    <row r="493" ht="30" customHeight="1" x14ac:dyDescent="0.35"/>
    <row r="494" ht="30" customHeight="1" x14ac:dyDescent="0.35"/>
    <row r="495" ht="30" customHeight="1" x14ac:dyDescent="0.35"/>
    <row r="496" ht="30" customHeight="1" x14ac:dyDescent="0.35"/>
    <row r="497" ht="30" customHeight="1" x14ac:dyDescent="0.35"/>
    <row r="498" ht="30" customHeight="1" x14ac:dyDescent="0.35"/>
    <row r="499" ht="30" customHeight="1" x14ac:dyDescent="0.35"/>
    <row r="500" ht="30" customHeight="1" x14ac:dyDescent="0.35"/>
    <row r="501" ht="30" customHeight="1" x14ac:dyDescent="0.35"/>
    <row r="502" ht="30" customHeight="1" x14ac:dyDescent="0.35"/>
    <row r="503" ht="30" customHeight="1" x14ac:dyDescent="0.35"/>
    <row r="504" ht="30" customHeight="1" x14ac:dyDescent="0.35"/>
    <row r="505" ht="30" customHeight="1" x14ac:dyDescent="0.35"/>
    <row r="506" ht="30" customHeight="1" x14ac:dyDescent="0.35"/>
    <row r="507" ht="30" customHeight="1" x14ac:dyDescent="0.35"/>
    <row r="508" ht="30" customHeight="1" x14ac:dyDescent="0.35"/>
    <row r="509" ht="30" customHeight="1" x14ac:dyDescent="0.35"/>
    <row r="510" ht="30" customHeight="1" x14ac:dyDescent="0.35"/>
    <row r="511" ht="30" customHeight="1" x14ac:dyDescent="0.35"/>
    <row r="512" ht="30" customHeight="1" x14ac:dyDescent="0.35"/>
    <row r="513" ht="30" customHeight="1" x14ac:dyDescent="0.35"/>
    <row r="514" ht="30" customHeight="1" x14ac:dyDescent="0.35"/>
    <row r="515" ht="30" customHeight="1" x14ac:dyDescent="0.35"/>
    <row r="516" ht="30" customHeight="1" x14ac:dyDescent="0.35"/>
    <row r="517" ht="30" customHeight="1" x14ac:dyDescent="0.35"/>
    <row r="518" ht="30" customHeight="1" x14ac:dyDescent="0.35"/>
    <row r="519" ht="30" customHeight="1" x14ac:dyDescent="0.35"/>
    <row r="520" ht="30" customHeight="1" x14ac:dyDescent="0.35"/>
    <row r="521" ht="30" customHeight="1" x14ac:dyDescent="0.35"/>
    <row r="522" ht="30" customHeight="1" x14ac:dyDescent="0.35"/>
    <row r="523" ht="30" customHeight="1" x14ac:dyDescent="0.35"/>
    <row r="524" ht="30" customHeight="1" x14ac:dyDescent="0.35"/>
    <row r="525" ht="30" customHeight="1" x14ac:dyDescent="0.35"/>
    <row r="526" ht="30" customHeight="1" x14ac:dyDescent="0.35"/>
    <row r="527" ht="30" customHeight="1" x14ac:dyDescent="0.35"/>
    <row r="528" ht="30" customHeight="1" x14ac:dyDescent="0.35"/>
    <row r="529" ht="30" customHeight="1" x14ac:dyDescent="0.35"/>
    <row r="530" ht="30" customHeight="1" x14ac:dyDescent="0.35"/>
    <row r="531" ht="30" customHeight="1" x14ac:dyDescent="0.35"/>
    <row r="532" ht="30" customHeight="1" x14ac:dyDescent="0.35"/>
    <row r="533" ht="30" customHeight="1" x14ac:dyDescent="0.35"/>
    <row r="534" ht="30" customHeight="1" x14ac:dyDescent="0.35"/>
    <row r="535" ht="30" customHeight="1" x14ac:dyDescent="0.35"/>
    <row r="536" ht="30" customHeight="1" x14ac:dyDescent="0.35"/>
    <row r="537" ht="30" customHeight="1" x14ac:dyDescent="0.35"/>
    <row r="538" ht="30" customHeight="1" x14ac:dyDescent="0.35"/>
    <row r="539" ht="30" customHeight="1" x14ac:dyDescent="0.35"/>
    <row r="540" ht="30" customHeight="1" x14ac:dyDescent="0.35"/>
    <row r="541" ht="30" customHeight="1" x14ac:dyDescent="0.35"/>
    <row r="542" ht="30" customHeight="1" x14ac:dyDescent="0.35"/>
    <row r="543" ht="30" customHeight="1" x14ac:dyDescent="0.35"/>
    <row r="544" ht="30" customHeight="1" x14ac:dyDescent="0.35"/>
    <row r="545" ht="30" customHeight="1" x14ac:dyDescent="0.35"/>
    <row r="546" ht="30" customHeight="1" x14ac:dyDescent="0.35"/>
    <row r="547" ht="30" customHeight="1" x14ac:dyDescent="0.35"/>
    <row r="548" ht="30" customHeight="1" x14ac:dyDescent="0.35"/>
    <row r="549" ht="30" customHeight="1" x14ac:dyDescent="0.35"/>
    <row r="550" ht="30" customHeight="1" x14ac:dyDescent="0.35"/>
    <row r="551" ht="30" customHeight="1" x14ac:dyDescent="0.35"/>
    <row r="552" ht="30" customHeight="1" x14ac:dyDescent="0.35"/>
    <row r="553" ht="30" customHeight="1" x14ac:dyDescent="0.35"/>
    <row r="554" ht="30" customHeight="1" x14ac:dyDescent="0.35"/>
    <row r="555" ht="30" customHeight="1" x14ac:dyDescent="0.35"/>
    <row r="556" ht="30" customHeight="1" x14ac:dyDescent="0.35"/>
    <row r="557" ht="30" customHeight="1" x14ac:dyDescent="0.35"/>
    <row r="558" ht="30" customHeight="1" x14ac:dyDescent="0.35"/>
    <row r="559" ht="30" customHeight="1" x14ac:dyDescent="0.35"/>
    <row r="560" ht="30" customHeight="1" x14ac:dyDescent="0.35"/>
    <row r="561" ht="30" customHeight="1" x14ac:dyDescent="0.35"/>
    <row r="562" ht="30" customHeight="1" x14ac:dyDescent="0.35"/>
    <row r="563" ht="30" customHeight="1" x14ac:dyDescent="0.35"/>
    <row r="564" ht="30" customHeight="1" x14ac:dyDescent="0.35"/>
    <row r="565" ht="30" customHeight="1" x14ac:dyDescent="0.35"/>
    <row r="566" ht="30" customHeight="1" x14ac:dyDescent="0.35"/>
    <row r="567" ht="30" customHeight="1" x14ac:dyDescent="0.35"/>
    <row r="568" ht="30" customHeight="1" x14ac:dyDescent="0.35"/>
    <row r="569" ht="30" customHeight="1" x14ac:dyDescent="0.35"/>
    <row r="570" ht="30" customHeight="1" x14ac:dyDescent="0.35"/>
    <row r="571" ht="30" customHeight="1" x14ac:dyDescent="0.35"/>
    <row r="572" ht="30" customHeight="1" x14ac:dyDescent="0.35"/>
    <row r="573" ht="30" customHeight="1" x14ac:dyDescent="0.35"/>
    <row r="574" ht="30" customHeight="1" x14ac:dyDescent="0.35"/>
    <row r="575" ht="30" customHeight="1" x14ac:dyDescent="0.35"/>
    <row r="576" ht="30" customHeight="1" x14ac:dyDescent="0.35"/>
    <row r="577" ht="30" customHeight="1" x14ac:dyDescent="0.35"/>
    <row r="578" ht="30" customHeight="1" x14ac:dyDescent="0.35"/>
    <row r="579" ht="30" customHeight="1" x14ac:dyDescent="0.35"/>
    <row r="580" ht="30" customHeight="1" x14ac:dyDescent="0.35"/>
    <row r="581" ht="30" customHeight="1" x14ac:dyDescent="0.35"/>
    <row r="582" ht="30" customHeight="1" x14ac:dyDescent="0.35"/>
    <row r="583" ht="30" customHeight="1" x14ac:dyDescent="0.35"/>
    <row r="584" ht="30" customHeight="1" x14ac:dyDescent="0.35"/>
    <row r="585" ht="30" customHeight="1" x14ac:dyDescent="0.35"/>
    <row r="586" ht="30" customHeight="1" x14ac:dyDescent="0.35"/>
    <row r="587" ht="30" customHeight="1" x14ac:dyDescent="0.35"/>
    <row r="588" ht="30" customHeight="1" x14ac:dyDescent="0.35"/>
    <row r="589" ht="30" customHeight="1" x14ac:dyDescent="0.35"/>
    <row r="590" ht="30" customHeight="1" x14ac:dyDescent="0.35"/>
    <row r="591" ht="30" customHeight="1" x14ac:dyDescent="0.35"/>
    <row r="592" ht="30" customHeight="1" x14ac:dyDescent="0.35"/>
    <row r="593" ht="30" customHeight="1" x14ac:dyDescent="0.35"/>
    <row r="594" ht="30" customHeight="1" x14ac:dyDescent="0.35"/>
    <row r="595" ht="30" customHeight="1" x14ac:dyDescent="0.35"/>
    <row r="596" ht="30" customHeight="1" x14ac:dyDescent="0.35"/>
    <row r="597" ht="30" customHeight="1" x14ac:dyDescent="0.35"/>
    <row r="598" ht="30" customHeight="1" x14ac:dyDescent="0.35"/>
    <row r="599" ht="30" customHeight="1" x14ac:dyDescent="0.35"/>
    <row r="600" ht="30" customHeight="1" x14ac:dyDescent="0.35"/>
    <row r="601" ht="30" customHeight="1" x14ac:dyDescent="0.35"/>
    <row r="602" ht="30" customHeight="1" x14ac:dyDescent="0.35"/>
    <row r="603" ht="30" customHeight="1" x14ac:dyDescent="0.35"/>
    <row r="604" ht="30" customHeight="1" x14ac:dyDescent="0.35"/>
    <row r="605" ht="30" customHeight="1" x14ac:dyDescent="0.35"/>
    <row r="606" ht="30" customHeight="1" x14ac:dyDescent="0.35"/>
    <row r="607" ht="30" customHeight="1" x14ac:dyDescent="0.35"/>
    <row r="608" ht="30" customHeight="1" x14ac:dyDescent="0.35"/>
    <row r="609" ht="30" customHeight="1" x14ac:dyDescent="0.35"/>
    <row r="610" ht="30" customHeight="1" x14ac:dyDescent="0.35"/>
    <row r="611" ht="30" customHeight="1" x14ac:dyDescent="0.35"/>
    <row r="612" ht="30" customHeight="1" x14ac:dyDescent="0.35"/>
    <row r="613" ht="30" customHeight="1" x14ac:dyDescent="0.35"/>
    <row r="614" ht="30" customHeight="1" x14ac:dyDescent="0.35"/>
    <row r="615" ht="30" customHeight="1" x14ac:dyDescent="0.35"/>
    <row r="616" ht="30" customHeight="1" x14ac:dyDescent="0.35"/>
    <row r="617" ht="30" customHeight="1" x14ac:dyDescent="0.35"/>
    <row r="618" ht="30" customHeight="1" x14ac:dyDescent="0.35"/>
    <row r="619" ht="30" customHeight="1" x14ac:dyDescent="0.35"/>
    <row r="620" ht="30" customHeight="1" x14ac:dyDescent="0.35"/>
    <row r="621" ht="30" customHeight="1" x14ac:dyDescent="0.35"/>
    <row r="622" ht="30" customHeight="1" x14ac:dyDescent="0.35"/>
    <row r="623" ht="30" customHeight="1" x14ac:dyDescent="0.35"/>
    <row r="624" ht="30" customHeight="1" x14ac:dyDescent="0.35"/>
    <row r="625" ht="30" customHeight="1" x14ac:dyDescent="0.35"/>
    <row r="626" ht="30" customHeight="1" x14ac:dyDescent="0.35"/>
    <row r="627" ht="30" customHeight="1" x14ac:dyDescent="0.35"/>
    <row r="628" ht="30" customHeight="1" x14ac:dyDescent="0.35"/>
    <row r="629" ht="30" customHeight="1" x14ac:dyDescent="0.35"/>
    <row r="630" ht="30" customHeight="1" x14ac:dyDescent="0.35"/>
    <row r="631" ht="30" customHeight="1" x14ac:dyDescent="0.35"/>
    <row r="632" ht="30" customHeight="1" x14ac:dyDescent="0.35"/>
    <row r="633" ht="30" customHeight="1" x14ac:dyDescent="0.35"/>
    <row r="634" ht="30" customHeight="1" x14ac:dyDescent="0.35"/>
    <row r="635" ht="30" customHeight="1" x14ac:dyDescent="0.35"/>
    <row r="636" ht="30" customHeight="1" x14ac:dyDescent="0.35"/>
    <row r="637" ht="30" customHeight="1" x14ac:dyDescent="0.35"/>
    <row r="638" ht="30" customHeight="1" x14ac:dyDescent="0.35"/>
    <row r="639" ht="30" customHeight="1" x14ac:dyDescent="0.35"/>
    <row r="640" ht="30" customHeight="1" x14ac:dyDescent="0.35"/>
    <row r="641" ht="30" customHeight="1" x14ac:dyDescent="0.35"/>
    <row r="642" ht="30" customHeight="1" x14ac:dyDescent="0.35"/>
    <row r="643" ht="30" customHeight="1" x14ac:dyDescent="0.35"/>
    <row r="644" ht="30" customHeight="1" x14ac:dyDescent="0.35"/>
    <row r="645" ht="30" customHeight="1" x14ac:dyDescent="0.35"/>
    <row r="646" ht="30" customHeight="1" x14ac:dyDescent="0.35"/>
    <row r="647" ht="30" customHeight="1" x14ac:dyDescent="0.35"/>
    <row r="648" ht="30" customHeight="1" x14ac:dyDescent="0.35"/>
    <row r="649" ht="30" customHeight="1" x14ac:dyDescent="0.35"/>
    <row r="650" ht="30" customHeight="1" x14ac:dyDescent="0.35"/>
    <row r="651" ht="30" customHeight="1" x14ac:dyDescent="0.35"/>
    <row r="652" ht="30" customHeight="1" x14ac:dyDescent="0.35"/>
    <row r="653" ht="30" customHeight="1" x14ac:dyDescent="0.35"/>
    <row r="654" ht="30" customHeight="1" x14ac:dyDescent="0.35"/>
    <row r="655" ht="30" customHeight="1" x14ac:dyDescent="0.35"/>
    <row r="656" ht="30" customHeight="1" x14ac:dyDescent="0.35"/>
    <row r="657" ht="30" customHeight="1" x14ac:dyDescent="0.35"/>
    <row r="658" ht="30" customHeight="1" x14ac:dyDescent="0.35"/>
    <row r="659" ht="30" customHeight="1" x14ac:dyDescent="0.35"/>
    <row r="660" ht="30" customHeight="1" x14ac:dyDescent="0.35"/>
    <row r="661" ht="30" customHeight="1" x14ac:dyDescent="0.35"/>
    <row r="662" ht="30" customHeight="1" x14ac:dyDescent="0.35"/>
    <row r="663" ht="30" customHeight="1" x14ac:dyDescent="0.35"/>
    <row r="664" ht="30" customHeight="1" x14ac:dyDescent="0.35"/>
    <row r="665" ht="30" customHeight="1" x14ac:dyDescent="0.35"/>
    <row r="666" ht="30" customHeight="1" x14ac:dyDescent="0.35"/>
    <row r="667" ht="30" customHeight="1" x14ac:dyDescent="0.35"/>
    <row r="668" ht="30" customHeight="1" x14ac:dyDescent="0.35"/>
    <row r="669" ht="30" customHeight="1" x14ac:dyDescent="0.35"/>
    <row r="670" ht="30" customHeight="1" x14ac:dyDescent="0.35"/>
    <row r="671" ht="30" customHeight="1" x14ac:dyDescent="0.35"/>
    <row r="672" ht="30" customHeight="1" x14ac:dyDescent="0.35"/>
    <row r="673" ht="30" customHeight="1" x14ac:dyDescent="0.35"/>
    <row r="674" ht="30" customHeight="1" x14ac:dyDescent="0.35"/>
    <row r="675" ht="30" customHeight="1" x14ac:dyDescent="0.35"/>
    <row r="676" ht="30" customHeight="1" x14ac:dyDescent="0.35"/>
    <row r="677" ht="30" customHeight="1" x14ac:dyDescent="0.35"/>
    <row r="678" ht="30" customHeight="1" x14ac:dyDescent="0.35"/>
    <row r="679" ht="30" customHeight="1" x14ac:dyDescent="0.35"/>
    <row r="680" ht="30" customHeight="1" x14ac:dyDescent="0.35"/>
    <row r="681" ht="30" customHeight="1" x14ac:dyDescent="0.35"/>
    <row r="682" ht="30" customHeight="1" x14ac:dyDescent="0.35"/>
    <row r="683" ht="30" customHeight="1" x14ac:dyDescent="0.35"/>
    <row r="684" ht="30" customHeight="1" x14ac:dyDescent="0.35"/>
    <row r="685" ht="30" customHeight="1" x14ac:dyDescent="0.35"/>
    <row r="686" ht="30" customHeight="1" x14ac:dyDescent="0.35"/>
    <row r="687" ht="30" customHeight="1" x14ac:dyDescent="0.35"/>
    <row r="688" ht="30" customHeight="1" x14ac:dyDescent="0.35"/>
    <row r="689" ht="30" customHeight="1" x14ac:dyDescent="0.35"/>
    <row r="690" ht="30" customHeight="1" x14ac:dyDescent="0.35"/>
    <row r="691" ht="30" customHeight="1" x14ac:dyDescent="0.35"/>
    <row r="692" ht="30" customHeight="1" x14ac:dyDescent="0.35"/>
    <row r="693" ht="30" customHeight="1" x14ac:dyDescent="0.35"/>
    <row r="694" ht="30" customHeight="1" x14ac:dyDescent="0.35"/>
    <row r="695" ht="30" customHeight="1" x14ac:dyDescent="0.35"/>
    <row r="696" ht="30" customHeight="1" x14ac:dyDescent="0.35"/>
    <row r="697" ht="30" customHeight="1" x14ac:dyDescent="0.35"/>
    <row r="698" ht="30" customHeight="1" x14ac:dyDescent="0.35"/>
    <row r="699" ht="30" customHeight="1" x14ac:dyDescent="0.35"/>
    <row r="700" ht="30" customHeight="1" x14ac:dyDescent="0.35"/>
    <row r="701" ht="30" customHeight="1" x14ac:dyDescent="0.35"/>
    <row r="702" ht="30" customHeight="1" x14ac:dyDescent="0.35"/>
    <row r="703" ht="30" customHeight="1" x14ac:dyDescent="0.35"/>
    <row r="704" ht="30" customHeight="1" x14ac:dyDescent="0.35"/>
    <row r="705" ht="30" customHeight="1" x14ac:dyDescent="0.35"/>
    <row r="706" ht="30" customHeight="1" x14ac:dyDescent="0.35"/>
    <row r="707" ht="30" customHeight="1" x14ac:dyDescent="0.35"/>
    <row r="708" ht="30" customHeight="1" x14ac:dyDescent="0.35"/>
    <row r="709" ht="30" customHeight="1" x14ac:dyDescent="0.35"/>
    <row r="710" ht="30" customHeight="1" x14ac:dyDescent="0.35"/>
    <row r="711" ht="30" customHeight="1" x14ac:dyDescent="0.35"/>
    <row r="712" ht="30" customHeight="1" x14ac:dyDescent="0.35"/>
    <row r="713" ht="30" customHeight="1" x14ac:dyDescent="0.35"/>
    <row r="714" ht="30" customHeight="1" x14ac:dyDescent="0.35"/>
    <row r="715" ht="30" customHeight="1" x14ac:dyDescent="0.35"/>
    <row r="716" ht="30" customHeight="1" x14ac:dyDescent="0.35"/>
    <row r="717" ht="30" customHeight="1" x14ac:dyDescent="0.35"/>
    <row r="718" ht="30" customHeight="1" x14ac:dyDescent="0.35"/>
    <row r="719" ht="30" customHeight="1" x14ac:dyDescent="0.35"/>
    <row r="720" ht="30" customHeight="1" x14ac:dyDescent="0.35"/>
    <row r="721" ht="30" customHeight="1" x14ac:dyDescent="0.35"/>
    <row r="722" ht="30" customHeight="1" x14ac:dyDescent="0.35"/>
    <row r="723" ht="30" customHeight="1" x14ac:dyDescent="0.35"/>
    <row r="724" ht="30" customHeight="1" x14ac:dyDescent="0.35"/>
    <row r="725" ht="30" customHeight="1" x14ac:dyDescent="0.35"/>
    <row r="726" ht="30" customHeight="1" x14ac:dyDescent="0.35"/>
    <row r="727" ht="30" customHeight="1" x14ac:dyDescent="0.35"/>
    <row r="728" ht="30" customHeight="1" x14ac:dyDescent="0.35"/>
    <row r="729" ht="30" customHeight="1" x14ac:dyDescent="0.35"/>
    <row r="730" ht="30" customHeight="1" x14ac:dyDescent="0.35"/>
    <row r="731" ht="30" customHeight="1" x14ac:dyDescent="0.35"/>
    <row r="732" ht="30" customHeight="1" x14ac:dyDescent="0.35"/>
    <row r="733" ht="30" customHeight="1" x14ac:dyDescent="0.35"/>
    <row r="734" ht="30" customHeight="1" x14ac:dyDescent="0.35"/>
    <row r="735" ht="30" customHeight="1" x14ac:dyDescent="0.35"/>
    <row r="736" ht="30" customHeight="1" x14ac:dyDescent="0.35"/>
    <row r="737" ht="30" customHeight="1" x14ac:dyDescent="0.35"/>
    <row r="738" ht="30" customHeight="1" x14ac:dyDescent="0.35"/>
    <row r="739" ht="30" customHeight="1" x14ac:dyDescent="0.35"/>
    <row r="740" ht="30" customHeight="1" x14ac:dyDescent="0.35"/>
    <row r="741" ht="30" customHeight="1" x14ac:dyDescent="0.35"/>
    <row r="742" ht="30" customHeight="1" x14ac:dyDescent="0.35"/>
    <row r="743" ht="30" customHeight="1" x14ac:dyDescent="0.35"/>
    <row r="744" ht="30" customHeight="1" x14ac:dyDescent="0.35"/>
    <row r="745" ht="30" customHeight="1" x14ac:dyDescent="0.35"/>
    <row r="746" ht="30" customHeight="1" x14ac:dyDescent="0.35"/>
    <row r="747" ht="30" customHeight="1" x14ac:dyDescent="0.35"/>
    <row r="748" ht="30" customHeight="1" x14ac:dyDescent="0.35"/>
    <row r="749" ht="30" customHeight="1" x14ac:dyDescent="0.35"/>
    <row r="750" ht="30" customHeight="1" x14ac:dyDescent="0.35"/>
    <row r="751" ht="30" customHeight="1" x14ac:dyDescent="0.35"/>
    <row r="752" ht="30" customHeight="1" x14ac:dyDescent="0.35"/>
    <row r="753" ht="30" customHeight="1" x14ac:dyDescent="0.35"/>
    <row r="754" ht="30" customHeight="1" x14ac:dyDescent="0.35"/>
    <row r="755" ht="30" customHeight="1" x14ac:dyDescent="0.35"/>
    <row r="756" ht="30" customHeight="1" x14ac:dyDescent="0.35"/>
    <row r="757" ht="30" customHeight="1" x14ac:dyDescent="0.35"/>
    <row r="758" ht="30" customHeight="1" x14ac:dyDescent="0.35"/>
    <row r="759" ht="30" customHeight="1" x14ac:dyDescent="0.35"/>
    <row r="760" ht="30" customHeight="1" x14ac:dyDescent="0.35"/>
    <row r="761" ht="30" customHeight="1" x14ac:dyDescent="0.35"/>
    <row r="762" ht="30" customHeight="1" x14ac:dyDescent="0.35"/>
    <row r="763" ht="30" customHeight="1" x14ac:dyDescent="0.35"/>
    <row r="764" ht="30" customHeight="1" x14ac:dyDescent="0.35"/>
    <row r="765" ht="30" customHeight="1" x14ac:dyDescent="0.35"/>
    <row r="766" ht="30" customHeight="1" x14ac:dyDescent="0.35"/>
    <row r="767" ht="30" customHeight="1" x14ac:dyDescent="0.35"/>
    <row r="768" ht="30" customHeight="1" x14ac:dyDescent="0.35"/>
    <row r="769" ht="30" customHeight="1" x14ac:dyDescent="0.35"/>
    <row r="770" ht="30" customHeight="1" x14ac:dyDescent="0.35"/>
    <row r="771" ht="30" customHeight="1" x14ac:dyDescent="0.35"/>
    <row r="772" ht="30" customHeight="1" x14ac:dyDescent="0.35"/>
    <row r="773" ht="30" customHeight="1" x14ac:dyDescent="0.35"/>
    <row r="774" ht="30" customHeight="1" x14ac:dyDescent="0.35"/>
    <row r="775" ht="30" customHeight="1" x14ac:dyDescent="0.35"/>
    <row r="776" ht="30" customHeight="1" x14ac:dyDescent="0.35"/>
    <row r="777" ht="30" customHeight="1" x14ac:dyDescent="0.35"/>
    <row r="778" ht="30" customHeight="1" x14ac:dyDescent="0.35"/>
    <row r="779" ht="30" customHeight="1" x14ac:dyDescent="0.35"/>
    <row r="780" ht="30" customHeight="1" x14ac:dyDescent="0.35"/>
    <row r="781" ht="30" customHeight="1" x14ac:dyDescent="0.35"/>
    <row r="782" ht="30" customHeight="1" x14ac:dyDescent="0.35"/>
    <row r="783" ht="30" customHeight="1" x14ac:dyDescent="0.35"/>
    <row r="784" ht="30" customHeight="1" x14ac:dyDescent="0.35"/>
    <row r="785" ht="30" customHeight="1" x14ac:dyDescent="0.35"/>
    <row r="786" ht="30" customHeight="1" x14ac:dyDescent="0.35"/>
    <row r="787" ht="30" customHeight="1" x14ac:dyDescent="0.35"/>
    <row r="788" ht="30" customHeight="1" x14ac:dyDescent="0.35"/>
    <row r="789" ht="30" customHeight="1" x14ac:dyDescent="0.35"/>
    <row r="790" ht="30" customHeight="1" x14ac:dyDescent="0.35"/>
    <row r="791" ht="30" customHeight="1" x14ac:dyDescent="0.35"/>
    <row r="792" ht="30" customHeight="1" x14ac:dyDescent="0.35"/>
    <row r="793" ht="30" customHeight="1" x14ac:dyDescent="0.35"/>
    <row r="794" ht="30" customHeight="1" x14ac:dyDescent="0.35"/>
    <row r="795" ht="30" customHeight="1" x14ac:dyDescent="0.35"/>
    <row r="796" ht="30" customHeight="1" x14ac:dyDescent="0.35"/>
    <row r="797" ht="30" customHeight="1" x14ac:dyDescent="0.35"/>
    <row r="798" ht="30" customHeight="1" x14ac:dyDescent="0.35"/>
    <row r="799" ht="30" customHeight="1" x14ac:dyDescent="0.35"/>
    <row r="800" ht="30" customHeight="1" x14ac:dyDescent="0.35"/>
    <row r="801" ht="30" customHeight="1" x14ac:dyDescent="0.35"/>
    <row r="802" ht="30" customHeight="1" x14ac:dyDescent="0.35"/>
    <row r="803" ht="30" customHeight="1" x14ac:dyDescent="0.35"/>
    <row r="804" ht="30" customHeight="1" x14ac:dyDescent="0.35"/>
    <row r="805" ht="30" customHeight="1" x14ac:dyDescent="0.35"/>
    <row r="806" ht="30" customHeight="1" x14ac:dyDescent="0.35"/>
    <row r="807" ht="30" customHeight="1" x14ac:dyDescent="0.35"/>
    <row r="808" ht="30" customHeight="1" x14ac:dyDescent="0.35"/>
    <row r="809" ht="30" customHeight="1" x14ac:dyDescent="0.35"/>
    <row r="810" ht="30" customHeight="1" x14ac:dyDescent="0.35"/>
    <row r="811" ht="30" customHeight="1" x14ac:dyDescent="0.35"/>
    <row r="812" ht="30" customHeight="1" x14ac:dyDescent="0.35"/>
    <row r="813" ht="30" customHeight="1" x14ac:dyDescent="0.35"/>
    <row r="814" ht="30" customHeight="1" x14ac:dyDescent="0.35"/>
    <row r="815" ht="30" customHeight="1" x14ac:dyDescent="0.35"/>
    <row r="816" ht="30" customHeight="1" x14ac:dyDescent="0.35"/>
    <row r="817" ht="30" customHeight="1" x14ac:dyDescent="0.35"/>
    <row r="818" ht="30" customHeight="1" x14ac:dyDescent="0.35"/>
    <row r="819" ht="30" customHeight="1" x14ac:dyDescent="0.35"/>
    <row r="820" ht="30" customHeight="1" x14ac:dyDescent="0.35"/>
    <row r="821" ht="30" customHeight="1" x14ac:dyDescent="0.35"/>
    <row r="822" ht="30" customHeight="1" x14ac:dyDescent="0.35"/>
    <row r="823" ht="30" customHeight="1" x14ac:dyDescent="0.35"/>
    <row r="824" ht="30" customHeight="1" x14ac:dyDescent="0.35"/>
    <row r="825" ht="30" customHeight="1" x14ac:dyDescent="0.35"/>
    <row r="826" ht="30" customHeight="1" x14ac:dyDescent="0.35"/>
    <row r="827" ht="30" customHeight="1" x14ac:dyDescent="0.35"/>
    <row r="828" ht="30" customHeight="1" x14ac:dyDescent="0.35"/>
    <row r="829" ht="30" customHeight="1" x14ac:dyDescent="0.35"/>
    <row r="830" ht="30" customHeight="1" x14ac:dyDescent="0.35"/>
    <row r="831" ht="30" customHeight="1" x14ac:dyDescent="0.35"/>
    <row r="832" ht="30" customHeight="1" x14ac:dyDescent="0.35"/>
    <row r="833" ht="30" customHeight="1" x14ac:dyDescent="0.35"/>
    <row r="834" ht="30" customHeight="1" x14ac:dyDescent="0.35"/>
    <row r="835" ht="30" customHeight="1" x14ac:dyDescent="0.35"/>
    <row r="836" ht="30" customHeight="1" x14ac:dyDescent="0.35"/>
    <row r="837" ht="30" customHeight="1" x14ac:dyDescent="0.35"/>
    <row r="838" ht="30" customHeight="1" x14ac:dyDescent="0.35"/>
    <row r="839" ht="30" customHeight="1" x14ac:dyDescent="0.35"/>
    <row r="840" ht="30" customHeight="1" x14ac:dyDescent="0.35"/>
    <row r="841" ht="30" customHeight="1" x14ac:dyDescent="0.35"/>
    <row r="842" ht="30" customHeight="1" x14ac:dyDescent="0.35"/>
    <row r="843" ht="30" customHeight="1" x14ac:dyDescent="0.35"/>
    <row r="844" ht="30" customHeight="1" x14ac:dyDescent="0.35"/>
    <row r="845" ht="30" customHeight="1" x14ac:dyDescent="0.35"/>
    <row r="846" ht="30" customHeight="1" x14ac:dyDescent="0.35"/>
    <row r="847" ht="30" customHeight="1" x14ac:dyDescent="0.35"/>
    <row r="848" ht="30" customHeight="1" x14ac:dyDescent="0.35"/>
    <row r="849" ht="30" customHeight="1" x14ac:dyDescent="0.35"/>
    <row r="850" ht="30" customHeight="1" x14ac:dyDescent="0.35"/>
    <row r="851" ht="30" customHeight="1" x14ac:dyDescent="0.35"/>
    <row r="852" ht="30" customHeight="1" x14ac:dyDescent="0.35"/>
    <row r="853" ht="30" customHeight="1" x14ac:dyDescent="0.35"/>
    <row r="854" ht="30" customHeight="1" x14ac:dyDescent="0.35"/>
    <row r="855" ht="30" customHeight="1" x14ac:dyDescent="0.35"/>
    <row r="856" ht="30" customHeight="1" x14ac:dyDescent="0.35"/>
    <row r="857" ht="30" customHeight="1" x14ac:dyDescent="0.35"/>
    <row r="858" ht="30" customHeight="1" x14ac:dyDescent="0.35"/>
    <row r="859" ht="30" customHeight="1" x14ac:dyDescent="0.35"/>
    <row r="860" ht="30" customHeight="1" x14ac:dyDescent="0.35"/>
    <row r="861" ht="30" customHeight="1" x14ac:dyDescent="0.35"/>
    <row r="862" ht="30" customHeight="1" x14ac:dyDescent="0.35"/>
    <row r="863" ht="30" customHeight="1" x14ac:dyDescent="0.35"/>
    <row r="864" ht="30" customHeight="1" x14ac:dyDescent="0.35"/>
    <row r="865" ht="30" customHeight="1" x14ac:dyDescent="0.35"/>
    <row r="866" ht="30" customHeight="1" x14ac:dyDescent="0.35"/>
    <row r="867" ht="30" customHeight="1" x14ac:dyDescent="0.35"/>
    <row r="868" ht="30" customHeight="1" x14ac:dyDescent="0.35"/>
    <row r="869" ht="30" customHeight="1" x14ac:dyDescent="0.35"/>
    <row r="870" ht="30" customHeight="1" x14ac:dyDescent="0.35"/>
    <row r="871" ht="30" customHeight="1" x14ac:dyDescent="0.35"/>
    <row r="872" ht="30" customHeight="1" x14ac:dyDescent="0.35"/>
    <row r="873" ht="30" customHeight="1" x14ac:dyDescent="0.35"/>
    <row r="874" ht="30" customHeight="1" x14ac:dyDescent="0.35"/>
    <row r="875" ht="30" customHeight="1" x14ac:dyDescent="0.35"/>
    <row r="876" ht="30" customHeight="1" x14ac:dyDescent="0.35"/>
    <row r="877" ht="30" customHeight="1" x14ac:dyDescent="0.35"/>
    <row r="878" ht="30" customHeight="1" x14ac:dyDescent="0.35"/>
    <row r="879" ht="30" customHeight="1" x14ac:dyDescent="0.35"/>
    <row r="880" ht="30" customHeight="1" x14ac:dyDescent="0.35"/>
    <row r="881" ht="30" customHeight="1" x14ac:dyDescent="0.35"/>
    <row r="882" ht="30" customHeight="1" x14ac:dyDescent="0.35"/>
    <row r="883" ht="30" customHeight="1" x14ac:dyDescent="0.35"/>
    <row r="884" ht="30" customHeight="1" x14ac:dyDescent="0.35"/>
    <row r="885" ht="30" customHeight="1" x14ac:dyDescent="0.35"/>
    <row r="886" ht="30" customHeight="1" x14ac:dyDescent="0.35"/>
    <row r="887" ht="30" customHeight="1" x14ac:dyDescent="0.35"/>
    <row r="888" ht="30" customHeight="1" x14ac:dyDescent="0.35"/>
    <row r="889" ht="30" customHeight="1" x14ac:dyDescent="0.35"/>
    <row r="890" ht="30" customHeight="1" x14ac:dyDescent="0.35"/>
    <row r="891" ht="30" customHeight="1" x14ac:dyDescent="0.35"/>
    <row r="892" ht="30" customHeight="1" x14ac:dyDescent="0.35"/>
    <row r="893" ht="30" customHeight="1" x14ac:dyDescent="0.35"/>
    <row r="894" ht="30" customHeight="1" x14ac:dyDescent="0.35"/>
    <row r="895" ht="30" customHeight="1" x14ac:dyDescent="0.35"/>
    <row r="896" ht="30" customHeight="1" x14ac:dyDescent="0.35"/>
    <row r="897" ht="30" customHeight="1" x14ac:dyDescent="0.35"/>
    <row r="898" ht="30" customHeight="1" x14ac:dyDescent="0.35"/>
    <row r="899" ht="30" customHeight="1" x14ac:dyDescent="0.35"/>
    <row r="900" ht="30" customHeight="1" x14ac:dyDescent="0.35"/>
    <row r="901" ht="30" customHeight="1" x14ac:dyDescent="0.35"/>
    <row r="902" ht="30" customHeight="1" x14ac:dyDescent="0.35"/>
    <row r="903" ht="30" customHeight="1" x14ac:dyDescent="0.35"/>
    <row r="904" ht="30" customHeight="1" x14ac:dyDescent="0.35"/>
    <row r="905" ht="30" customHeight="1" x14ac:dyDescent="0.35"/>
    <row r="906" ht="30" customHeight="1" x14ac:dyDescent="0.35"/>
    <row r="907" ht="30" customHeight="1" x14ac:dyDescent="0.35"/>
    <row r="908" ht="30" customHeight="1" x14ac:dyDescent="0.35"/>
    <row r="909" ht="30" customHeight="1" x14ac:dyDescent="0.35"/>
    <row r="910" ht="30" customHeight="1" x14ac:dyDescent="0.35"/>
    <row r="911" ht="30" customHeight="1" x14ac:dyDescent="0.35"/>
    <row r="912" ht="30" customHeight="1" x14ac:dyDescent="0.35"/>
    <row r="913" ht="30" customHeight="1" x14ac:dyDescent="0.35"/>
    <row r="914" ht="30" customHeight="1" x14ac:dyDescent="0.35"/>
    <row r="915" ht="30" customHeight="1" x14ac:dyDescent="0.35"/>
    <row r="916" ht="30" customHeight="1" x14ac:dyDescent="0.35"/>
    <row r="917" ht="30" customHeight="1" x14ac:dyDescent="0.35"/>
    <row r="918" ht="30" customHeight="1" x14ac:dyDescent="0.35"/>
    <row r="919" ht="30" customHeight="1" x14ac:dyDescent="0.35"/>
    <row r="920" ht="30" customHeight="1" x14ac:dyDescent="0.35"/>
    <row r="921" ht="30" customHeight="1" x14ac:dyDescent="0.35"/>
    <row r="922" ht="30" customHeight="1" x14ac:dyDescent="0.35"/>
    <row r="923" ht="30" customHeight="1" x14ac:dyDescent="0.35"/>
    <row r="924" ht="30" customHeight="1" x14ac:dyDescent="0.35"/>
    <row r="925" ht="30" customHeight="1" x14ac:dyDescent="0.35"/>
    <row r="926" ht="30" customHeight="1" x14ac:dyDescent="0.35"/>
    <row r="927" ht="30" customHeight="1" x14ac:dyDescent="0.35"/>
    <row r="928" ht="30" customHeight="1" x14ac:dyDescent="0.35"/>
    <row r="929" ht="30" customHeight="1" x14ac:dyDescent="0.35"/>
    <row r="930" ht="30" customHeight="1" x14ac:dyDescent="0.35"/>
    <row r="931" ht="30" customHeight="1" x14ac:dyDescent="0.35"/>
    <row r="932" ht="30" customHeight="1" x14ac:dyDescent="0.35"/>
    <row r="933" ht="30" customHeight="1" x14ac:dyDescent="0.35"/>
    <row r="934" ht="30" customHeight="1" x14ac:dyDescent="0.35"/>
    <row r="935" ht="30" customHeight="1" x14ac:dyDescent="0.35"/>
    <row r="936" ht="30" customHeight="1" x14ac:dyDescent="0.35"/>
    <row r="937" ht="30" customHeight="1" x14ac:dyDescent="0.35"/>
    <row r="938" ht="30" customHeight="1" x14ac:dyDescent="0.35"/>
    <row r="939" ht="30" customHeight="1" x14ac:dyDescent="0.35"/>
    <row r="940" ht="30" customHeight="1" x14ac:dyDescent="0.35"/>
    <row r="941" ht="30" customHeight="1" x14ac:dyDescent="0.35"/>
    <row r="942" ht="30" customHeight="1" x14ac:dyDescent="0.35"/>
    <row r="943" ht="30" customHeight="1" x14ac:dyDescent="0.35"/>
    <row r="944" ht="30" customHeight="1" x14ac:dyDescent="0.35"/>
    <row r="945" ht="30" customHeight="1" x14ac:dyDescent="0.35"/>
    <row r="946" ht="30" customHeight="1" x14ac:dyDescent="0.35"/>
    <row r="947" ht="30" customHeight="1" x14ac:dyDescent="0.35"/>
    <row r="948" ht="30" customHeight="1" x14ac:dyDescent="0.35"/>
    <row r="949" ht="30" customHeight="1" x14ac:dyDescent="0.35"/>
    <row r="950" ht="30" customHeight="1" x14ac:dyDescent="0.35"/>
    <row r="951" ht="30" customHeight="1" x14ac:dyDescent="0.35"/>
    <row r="952" ht="30" customHeight="1" x14ac:dyDescent="0.35"/>
    <row r="953" ht="30" customHeight="1" x14ac:dyDescent="0.35"/>
    <row r="954" ht="30" customHeight="1" x14ac:dyDescent="0.35"/>
    <row r="955" ht="30" customHeight="1" x14ac:dyDescent="0.35"/>
    <row r="956" ht="30" customHeight="1" x14ac:dyDescent="0.35"/>
    <row r="957" ht="30" customHeight="1" x14ac:dyDescent="0.35"/>
    <row r="958" ht="30" customHeight="1" x14ac:dyDescent="0.35"/>
    <row r="959" ht="30" customHeight="1" x14ac:dyDescent="0.35"/>
    <row r="960" ht="30" customHeight="1" x14ac:dyDescent="0.35"/>
    <row r="961" ht="30" customHeight="1" x14ac:dyDescent="0.35"/>
    <row r="962" ht="30" customHeight="1" x14ac:dyDescent="0.35"/>
    <row r="963" ht="30" customHeight="1" x14ac:dyDescent="0.35"/>
    <row r="964" ht="30" customHeight="1" x14ac:dyDescent="0.35"/>
    <row r="965" ht="30" customHeight="1" x14ac:dyDescent="0.35"/>
    <row r="966" ht="30" customHeight="1" x14ac:dyDescent="0.35"/>
    <row r="967" ht="30" customHeight="1" x14ac:dyDescent="0.35"/>
    <row r="968" ht="30" customHeight="1" x14ac:dyDescent="0.35"/>
    <row r="969" ht="30" customHeight="1" x14ac:dyDescent="0.35"/>
    <row r="970" ht="30" customHeight="1" x14ac:dyDescent="0.35"/>
    <row r="971" ht="30" customHeight="1" x14ac:dyDescent="0.35"/>
    <row r="972" ht="30" customHeight="1" x14ac:dyDescent="0.35"/>
    <row r="973" ht="30" customHeight="1" x14ac:dyDescent="0.35"/>
    <row r="974" ht="30" customHeight="1" x14ac:dyDescent="0.35"/>
    <row r="975" ht="30" customHeight="1" x14ac:dyDescent="0.35"/>
    <row r="976" ht="30" customHeight="1" x14ac:dyDescent="0.35"/>
    <row r="977" ht="30" customHeight="1" x14ac:dyDescent="0.35"/>
    <row r="978" ht="30" customHeight="1" x14ac:dyDescent="0.35"/>
    <row r="979" ht="30" customHeight="1" x14ac:dyDescent="0.35"/>
    <row r="980" ht="30" customHeight="1" x14ac:dyDescent="0.35"/>
    <row r="981" ht="30" customHeight="1" x14ac:dyDescent="0.35"/>
    <row r="982" ht="30" customHeight="1" x14ac:dyDescent="0.35"/>
    <row r="983" ht="30" customHeight="1" x14ac:dyDescent="0.35"/>
    <row r="984" ht="30" customHeight="1" x14ac:dyDescent="0.35"/>
    <row r="985" ht="30" customHeight="1" x14ac:dyDescent="0.35"/>
    <row r="986" ht="30" customHeight="1" x14ac:dyDescent="0.35"/>
    <row r="987" ht="30" customHeight="1" x14ac:dyDescent="0.35"/>
    <row r="988" ht="30" customHeight="1" x14ac:dyDescent="0.35"/>
    <row r="989" ht="30" customHeight="1" x14ac:dyDescent="0.35"/>
    <row r="990" ht="30" customHeight="1" x14ac:dyDescent="0.35"/>
    <row r="991" ht="30" customHeight="1" x14ac:dyDescent="0.35"/>
    <row r="992" ht="30" customHeight="1" x14ac:dyDescent="0.35"/>
    <row r="993" ht="30" customHeight="1" x14ac:dyDescent="0.35"/>
    <row r="994" ht="30" customHeight="1" x14ac:dyDescent="0.35"/>
    <row r="995" ht="30" customHeight="1" x14ac:dyDescent="0.35"/>
    <row r="996" ht="30" customHeight="1" x14ac:dyDescent="0.35"/>
    <row r="997" ht="30" customHeight="1" x14ac:dyDescent="0.35"/>
    <row r="998" ht="30" customHeight="1" x14ac:dyDescent="0.35"/>
    <row r="999" ht="30" customHeight="1" x14ac:dyDescent="0.35"/>
    <row r="1000" ht="30" customHeight="1" x14ac:dyDescent="0.35"/>
    <row r="1001" ht="30" customHeight="1" x14ac:dyDescent="0.35"/>
    <row r="1002" ht="30" customHeight="1" x14ac:dyDescent="0.35"/>
    <row r="1003" ht="30" customHeight="1" x14ac:dyDescent="0.35"/>
    <row r="1004" ht="30" customHeight="1" x14ac:dyDescent="0.35"/>
    <row r="1005" ht="30" customHeight="1" x14ac:dyDescent="0.35"/>
    <row r="1006" ht="30" customHeight="1" x14ac:dyDescent="0.35"/>
    <row r="1007" ht="30" customHeight="1" x14ac:dyDescent="0.35"/>
    <row r="1008" ht="30" customHeight="1" x14ac:dyDescent="0.35"/>
    <row r="1009" ht="30" customHeight="1" x14ac:dyDescent="0.35"/>
    <row r="1010" ht="30" customHeight="1" x14ac:dyDescent="0.35"/>
    <row r="1011" ht="30" customHeight="1" x14ac:dyDescent="0.35"/>
    <row r="1012" ht="30" customHeight="1" x14ac:dyDescent="0.35"/>
    <row r="1013" ht="30" customHeight="1" x14ac:dyDescent="0.35"/>
    <row r="1014" ht="30" customHeight="1" x14ac:dyDescent="0.35"/>
    <row r="1015" ht="30" customHeight="1" x14ac:dyDescent="0.35"/>
    <row r="1016" ht="30" customHeight="1" x14ac:dyDescent="0.35"/>
    <row r="1017" ht="30" customHeight="1" x14ac:dyDescent="0.35"/>
    <row r="1018" ht="30" customHeight="1" x14ac:dyDescent="0.35"/>
    <row r="1019" ht="30" customHeight="1" x14ac:dyDescent="0.35"/>
    <row r="1020" ht="30" customHeight="1" x14ac:dyDescent="0.35"/>
    <row r="1021" ht="30" customHeight="1" x14ac:dyDescent="0.35"/>
    <row r="1022" ht="30" customHeight="1" x14ac:dyDescent="0.35"/>
    <row r="1023" ht="30" customHeight="1" x14ac:dyDescent="0.35"/>
    <row r="1024" ht="30" customHeight="1" x14ac:dyDescent="0.35"/>
    <row r="1025" ht="30" customHeight="1" x14ac:dyDescent="0.35"/>
    <row r="1026" ht="30" customHeight="1" x14ac:dyDescent="0.35"/>
    <row r="1027" ht="30" customHeight="1" x14ac:dyDescent="0.35"/>
    <row r="1028" ht="30" customHeight="1" x14ac:dyDescent="0.35"/>
    <row r="1029" ht="30" customHeight="1" x14ac:dyDescent="0.35"/>
    <row r="1030" ht="30" customHeight="1" x14ac:dyDescent="0.35"/>
    <row r="1031" ht="30" customHeight="1" x14ac:dyDescent="0.35"/>
    <row r="1032" ht="30" customHeight="1" x14ac:dyDescent="0.35"/>
    <row r="1033" ht="30" customHeight="1" x14ac:dyDescent="0.35"/>
    <row r="1034" ht="30" customHeight="1" x14ac:dyDescent="0.35"/>
    <row r="1035" ht="30" customHeight="1" x14ac:dyDescent="0.35"/>
    <row r="1036" ht="30" customHeight="1" x14ac:dyDescent="0.35"/>
    <row r="1037" ht="30" customHeight="1" x14ac:dyDescent="0.35"/>
    <row r="1038" ht="30" customHeight="1" x14ac:dyDescent="0.35"/>
    <row r="1039" ht="30" customHeight="1" x14ac:dyDescent="0.35"/>
    <row r="1040" ht="30" customHeight="1" x14ac:dyDescent="0.35"/>
    <row r="1041" ht="30" customHeight="1" x14ac:dyDescent="0.35"/>
    <row r="1042" ht="30" customHeight="1" x14ac:dyDescent="0.35"/>
    <row r="1043" ht="30" customHeight="1" x14ac:dyDescent="0.35"/>
    <row r="1044" ht="30" customHeight="1" x14ac:dyDescent="0.35"/>
    <row r="1045" ht="30" customHeight="1" x14ac:dyDescent="0.35"/>
    <row r="1046" ht="30" customHeight="1" x14ac:dyDescent="0.35"/>
    <row r="1047" ht="30" customHeight="1" x14ac:dyDescent="0.35"/>
    <row r="1048" ht="30" customHeight="1" x14ac:dyDescent="0.35"/>
    <row r="1049" ht="30" customHeight="1" x14ac:dyDescent="0.35"/>
    <row r="1050" ht="30" customHeight="1" x14ac:dyDescent="0.35"/>
    <row r="1051" ht="30" customHeight="1" x14ac:dyDescent="0.35"/>
    <row r="1052" ht="30" customHeight="1" x14ac:dyDescent="0.35"/>
    <row r="1053" ht="30" customHeight="1" x14ac:dyDescent="0.35"/>
    <row r="1054" ht="30" customHeight="1" x14ac:dyDescent="0.35"/>
    <row r="1055" ht="30" customHeight="1" x14ac:dyDescent="0.35"/>
    <row r="1056" ht="30" customHeight="1" x14ac:dyDescent="0.35"/>
    <row r="1057" ht="30" customHeight="1" x14ac:dyDescent="0.35"/>
    <row r="1058" ht="30" customHeight="1" x14ac:dyDescent="0.35"/>
    <row r="1059" ht="30" customHeight="1" x14ac:dyDescent="0.35"/>
    <row r="1060" ht="30" customHeight="1" x14ac:dyDescent="0.35"/>
    <row r="1061" ht="30" customHeight="1" x14ac:dyDescent="0.35"/>
    <row r="1062" ht="30" customHeight="1" x14ac:dyDescent="0.35"/>
    <row r="1063" ht="30" customHeight="1" x14ac:dyDescent="0.35"/>
    <row r="1064" ht="30" customHeight="1" x14ac:dyDescent="0.35"/>
    <row r="1065" ht="30" customHeight="1" x14ac:dyDescent="0.35"/>
    <row r="1066" ht="30" customHeight="1" x14ac:dyDescent="0.35"/>
    <row r="1067" ht="30" customHeight="1" x14ac:dyDescent="0.35"/>
    <row r="1068" ht="30" customHeight="1" x14ac:dyDescent="0.35"/>
    <row r="1069" ht="30" customHeight="1" x14ac:dyDescent="0.35"/>
    <row r="1070" ht="30" customHeight="1" x14ac:dyDescent="0.35"/>
    <row r="1071" ht="30" customHeight="1" x14ac:dyDescent="0.35"/>
    <row r="1072" ht="30" customHeight="1" x14ac:dyDescent="0.35"/>
    <row r="1073" ht="30" customHeight="1" x14ac:dyDescent="0.35"/>
    <row r="1074" ht="30" customHeight="1" x14ac:dyDescent="0.35"/>
    <row r="1075" ht="30" customHeight="1" x14ac:dyDescent="0.35"/>
    <row r="1076" ht="30" customHeight="1" x14ac:dyDescent="0.35"/>
    <row r="1077" ht="30" customHeight="1" x14ac:dyDescent="0.35"/>
    <row r="1078" ht="30" customHeight="1" x14ac:dyDescent="0.35"/>
    <row r="1079" ht="30" customHeight="1" x14ac:dyDescent="0.35"/>
    <row r="1080" ht="30" customHeight="1" x14ac:dyDescent="0.35"/>
    <row r="1081" ht="30" customHeight="1" x14ac:dyDescent="0.35"/>
    <row r="1082" ht="30" customHeight="1" x14ac:dyDescent="0.35"/>
    <row r="1083" ht="30" customHeight="1" x14ac:dyDescent="0.35"/>
    <row r="1084" ht="30" customHeight="1" x14ac:dyDescent="0.35"/>
    <row r="1085" ht="30" customHeight="1" x14ac:dyDescent="0.35"/>
    <row r="1086" ht="30" customHeight="1" x14ac:dyDescent="0.35"/>
    <row r="1087" ht="30" customHeight="1" x14ac:dyDescent="0.35"/>
    <row r="1088" ht="30" customHeight="1" x14ac:dyDescent="0.35"/>
    <row r="1089" ht="30" customHeight="1" x14ac:dyDescent="0.35"/>
    <row r="1090" ht="30" customHeight="1" x14ac:dyDescent="0.35"/>
    <row r="1091" ht="30" customHeight="1" x14ac:dyDescent="0.35"/>
    <row r="1092" ht="30" customHeight="1" x14ac:dyDescent="0.35"/>
    <row r="1093" ht="30" customHeight="1" x14ac:dyDescent="0.35"/>
    <row r="1094" ht="30" customHeight="1" x14ac:dyDescent="0.35"/>
    <row r="1095" ht="30" customHeight="1" x14ac:dyDescent="0.35"/>
    <row r="1096" ht="30" customHeight="1" x14ac:dyDescent="0.35"/>
    <row r="1097" ht="30" customHeight="1" x14ac:dyDescent="0.35"/>
    <row r="1098" ht="30" customHeight="1" x14ac:dyDescent="0.35"/>
    <row r="1099" ht="30" customHeight="1" x14ac:dyDescent="0.35"/>
    <row r="1100" ht="30" customHeight="1" x14ac:dyDescent="0.35"/>
    <row r="1101" ht="30" customHeight="1" x14ac:dyDescent="0.35"/>
    <row r="1102" ht="30" customHeight="1" x14ac:dyDescent="0.35"/>
    <row r="1103" ht="30" customHeight="1" x14ac:dyDescent="0.35"/>
    <row r="1104" ht="30" customHeight="1" x14ac:dyDescent="0.35"/>
    <row r="1105" ht="30" customHeight="1" x14ac:dyDescent="0.35"/>
    <row r="1106" ht="30" customHeight="1" x14ac:dyDescent="0.35"/>
    <row r="1107" ht="30" customHeight="1" x14ac:dyDescent="0.35"/>
    <row r="1108" ht="30" customHeight="1" x14ac:dyDescent="0.35"/>
    <row r="1109" ht="30" customHeight="1" x14ac:dyDescent="0.35"/>
    <row r="1110" ht="30" customHeight="1" x14ac:dyDescent="0.35"/>
    <row r="1111" ht="30" customHeight="1" x14ac:dyDescent="0.35"/>
    <row r="1112" ht="30" customHeight="1" x14ac:dyDescent="0.35"/>
    <row r="1113" ht="30" customHeight="1" x14ac:dyDescent="0.35"/>
    <row r="1114" ht="30" customHeight="1" x14ac:dyDescent="0.35"/>
    <row r="1115" ht="30" customHeight="1" x14ac:dyDescent="0.35"/>
    <row r="1116" ht="30" customHeight="1" x14ac:dyDescent="0.35"/>
    <row r="1117" ht="30" customHeight="1" x14ac:dyDescent="0.35"/>
    <row r="1118" ht="30" customHeight="1" x14ac:dyDescent="0.35"/>
    <row r="1119" ht="30" customHeight="1" x14ac:dyDescent="0.35"/>
    <row r="1120" ht="30" customHeight="1" x14ac:dyDescent="0.35"/>
    <row r="1121" ht="30" customHeight="1" x14ac:dyDescent="0.35"/>
    <row r="1122" ht="30" customHeight="1" x14ac:dyDescent="0.35"/>
    <row r="1123" ht="30" customHeight="1" x14ac:dyDescent="0.35"/>
    <row r="1124" ht="30" customHeight="1" x14ac:dyDescent="0.35"/>
    <row r="1125" ht="30" customHeight="1" x14ac:dyDescent="0.35"/>
    <row r="1126" ht="30" customHeight="1" x14ac:dyDescent="0.35"/>
    <row r="1127" ht="30" customHeight="1" x14ac:dyDescent="0.35"/>
    <row r="1128" ht="30" customHeight="1" x14ac:dyDescent="0.35"/>
    <row r="1129" ht="30" customHeight="1" x14ac:dyDescent="0.35"/>
    <row r="1130" ht="30" customHeight="1" x14ac:dyDescent="0.35"/>
    <row r="1131" ht="30" customHeight="1" x14ac:dyDescent="0.35"/>
    <row r="1132" ht="30" customHeight="1" x14ac:dyDescent="0.35"/>
    <row r="1133" ht="30" customHeight="1" x14ac:dyDescent="0.35"/>
    <row r="1134" ht="30" customHeight="1" x14ac:dyDescent="0.35"/>
    <row r="1135" ht="30" customHeight="1" x14ac:dyDescent="0.35"/>
    <row r="1136" ht="30" customHeight="1" x14ac:dyDescent="0.35"/>
    <row r="1137" ht="30" customHeight="1" x14ac:dyDescent="0.35"/>
    <row r="1138" ht="30" customHeight="1" x14ac:dyDescent="0.35"/>
    <row r="1139" ht="30" customHeight="1" x14ac:dyDescent="0.35"/>
    <row r="1140" ht="30" customHeight="1" x14ac:dyDescent="0.35"/>
    <row r="1141" ht="30" customHeight="1" x14ac:dyDescent="0.35"/>
    <row r="1142" ht="30" customHeight="1" x14ac:dyDescent="0.35"/>
    <row r="1143" ht="30" customHeight="1" x14ac:dyDescent="0.35"/>
    <row r="1144" ht="30" customHeight="1" x14ac:dyDescent="0.35"/>
    <row r="1145" ht="30" customHeight="1" x14ac:dyDescent="0.35"/>
    <row r="1146" ht="30" customHeight="1" x14ac:dyDescent="0.35"/>
    <row r="1147" ht="30" customHeight="1" x14ac:dyDescent="0.35"/>
    <row r="1148" ht="30" customHeight="1" x14ac:dyDescent="0.35"/>
    <row r="1149" ht="30" customHeight="1" x14ac:dyDescent="0.35"/>
    <row r="1150" ht="30" customHeight="1" x14ac:dyDescent="0.35"/>
    <row r="1151" ht="30" customHeight="1" x14ac:dyDescent="0.35"/>
    <row r="1152" ht="30" customHeight="1" x14ac:dyDescent="0.35"/>
    <row r="1153" ht="30" customHeight="1" x14ac:dyDescent="0.35"/>
    <row r="1154" ht="30" customHeight="1" x14ac:dyDescent="0.35"/>
    <row r="1155" ht="30" customHeight="1" x14ac:dyDescent="0.35"/>
    <row r="1156" ht="30" customHeight="1" x14ac:dyDescent="0.35"/>
    <row r="1157" ht="30" customHeight="1" x14ac:dyDescent="0.35"/>
    <row r="1158" ht="30" customHeight="1" x14ac:dyDescent="0.35"/>
    <row r="1159" ht="30" customHeight="1" x14ac:dyDescent="0.35"/>
    <row r="1160" ht="30" customHeight="1" x14ac:dyDescent="0.35"/>
    <row r="1161" ht="30" customHeight="1" x14ac:dyDescent="0.35"/>
    <row r="1162" ht="30" customHeight="1" x14ac:dyDescent="0.35"/>
    <row r="1163" ht="30" customHeight="1" x14ac:dyDescent="0.35"/>
    <row r="1164" ht="30" customHeight="1" x14ac:dyDescent="0.35"/>
    <row r="1165" ht="30" customHeight="1" x14ac:dyDescent="0.35"/>
    <row r="1166" ht="30" customHeight="1" x14ac:dyDescent="0.35"/>
    <row r="1167" ht="30" customHeight="1" x14ac:dyDescent="0.35"/>
    <row r="1168" ht="30" customHeight="1" x14ac:dyDescent="0.35"/>
    <row r="1169" ht="30" customHeight="1" x14ac:dyDescent="0.35"/>
    <row r="1170" ht="30" customHeight="1" x14ac:dyDescent="0.35"/>
    <row r="1171" ht="30" customHeight="1" x14ac:dyDescent="0.35"/>
    <row r="1172" ht="30" customHeight="1" x14ac:dyDescent="0.35"/>
    <row r="1173" ht="30" customHeight="1" x14ac:dyDescent="0.35"/>
    <row r="1174" ht="30" customHeight="1" x14ac:dyDescent="0.35"/>
    <row r="1175" ht="30" customHeight="1" x14ac:dyDescent="0.35"/>
    <row r="1176" ht="30" customHeight="1" x14ac:dyDescent="0.35"/>
    <row r="1177" ht="30" customHeight="1" x14ac:dyDescent="0.35"/>
    <row r="1178" ht="30" customHeight="1" x14ac:dyDescent="0.35"/>
    <row r="1179" ht="30" customHeight="1" x14ac:dyDescent="0.35"/>
    <row r="1180" ht="30" customHeight="1" x14ac:dyDescent="0.35"/>
    <row r="1181" ht="30" customHeight="1" x14ac:dyDescent="0.35"/>
    <row r="1182" ht="30" customHeight="1" x14ac:dyDescent="0.35"/>
    <row r="1183" ht="30" customHeight="1" x14ac:dyDescent="0.35"/>
    <row r="1184" ht="30" customHeight="1" x14ac:dyDescent="0.35"/>
    <row r="1185" ht="30" customHeight="1" x14ac:dyDescent="0.35"/>
    <row r="1186" ht="30" customHeight="1" x14ac:dyDescent="0.35"/>
    <row r="1187" ht="30" customHeight="1" x14ac:dyDescent="0.35"/>
    <row r="1188" ht="30" customHeight="1" x14ac:dyDescent="0.35"/>
    <row r="1189" ht="30" customHeight="1" x14ac:dyDescent="0.35"/>
    <row r="1190" ht="30" customHeight="1" x14ac:dyDescent="0.35"/>
    <row r="1191" ht="30" customHeight="1" x14ac:dyDescent="0.35"/>
    <row r="1192" ht="30" customHeight="1" x14ac:dyDescent="0.35"/>
    <row r="1193" ht="30" customHeight="1" x14ac:dyDescent="0.35"/>
    <row r="1194" ht="30" customHeight="1" x14ac:dyDescent="0.35"/>
    <row r="1195" ht="30" customHeight="1" x14ac:dyDescent="0.35"/>
    <row r="1196" ht="30" customHeight="1" x14ac:dyDescent="0.35"/>
    <row r="1197" ht="30" customHeight="1" x14ac:dyDescent="0.35"/>
    <row r="1198" ht="30" customHeight="1" x14ac:dyDescent="0.35"/>
    <row r="1199" ht="30" customHeight="1" x14ac:dyDescent="0.35"/>
    <row r="1200" ht="30" customHeight="1" x14ac:dyDescent="0.35"/>
    <row r="1201" ht="30" customHeight="1" x14ac:dyDescent="0.35"/>
    <row r="1202" ht="30" customHeight="1" x14ac:dyDescent="0.35"/>
    <row r="1203" ht="30" customHeight="1" x14ac:dyDescent="0.35"/>
    <row r="1204" ht="30" customHeight="1" x14ac:dyDescent="0.35"/>
    <row r="1205" ht="30" customHeight="1" x14ac:dyDescent="0.35"/>
    <row r="1206" ht="30" customHeight="1" x14ac:dyDescent="0.35"/>
    <row r="1207" ht="30" customHeight="1" x14ac:dyDescent="0.35"/>
    <row r="1208" ht="30" customHeight="1" x14ac:dyDescent="0.35"/>
    <row r="1209" ht="30" customHeight="1" x14ac:dyDescent="0.35"/>
    <row r="1210" ht="30" customHeight="1" x14ac:dyDescent="0.35"/>
    <row r="1211" ht="30" customHeight="1" x14ac:dyDescent="0.35"/>
    <row r="1212" ht="30" customHeight="1" x14ac:dyDescent="0.35"/>
    <row r="1213" ht="30" customHeight="1" x14ac:dyDescent="0.35"/>
    <row r="1214" ht="30" customHeight="1" x14ac:dyDescent="0.35"/>
    <row r="1215" ht="30" customHeight="1" x14ac:dyDescent="0.35"/>
    <row r="1216" ht="30" customHeight="1" x14ac:dyDescent="0.35"/>
    <row r="1217" ht="30" customHeight="1" x14ac:dyDescent="0.35"/>
    <row r="1218" ht="30" customHeight="1" x14ac:dyDescent="0.35"/>
    <row r="1219" ht="30" customHeight="1" x14ac:dyDescent="0.35"/>
    <row r="1220" ht="30" customHeight="1" x14ac:dyDescent="0.35"/>
    <row r="1221" ht="30" customHeight="1" x14ac:dyDescent="0.35"/>
    <row r="1222" ht="30" customHeight="1" x14ac:dyDescent="0.35"/>
    <row r="1223" ht="30" customHeight="1" x14ac:dyDescent="0.35"/>
    <row r="1224" ht="30" customHeight="1" x14ac:dyDescent="0.35"/>
    <row r="1225" ht="30" customHeight="1" x14ac:dyDescent="0.35"/>
    <row r="1226" ht="30" customHeight="1" x14ac:dyDescent="0.35"/>
    <row r="1227" ht="30" customHeight="1" x14ac:dyDescent="0.35"/>
    <row r="1228" ht="30" customHeight="1" x14ac:dyDescent="0.35"/>
    <row r="1229" ht="30" customHeight="1" x14ac:dyDescent="0.35"/>
    <row r="1230" ht="30" customHeight="1" x14ac:dyDescent="0.35"/>
    <row r="1231" ht="30" customHeight="1" x14ac:dyDescent="0.35"/>
    <row r="1232" ht="30" customHeight="1" x14ac:dyDescent="0.35"/>
    <row r="1233" ht="30" customHeight="1" x14ac:dyDescent="0.35"/>
    <row r="1234" ht="30" customHeight="1" x14ac:dyDescent="0.35"/>
    <row r="1235" ht="30" customHeight="1" x14ac:dyDescent="0.35"/>
    <row r="1236" ht="30" customHeight="1" x14ac:dyDescent="0.35"/>
    <row r="1237" ht="30" customHeight="1" x14ac:dyDescent="0.35"/>
    <row r="1238" ht="30" customHeight="1" x14ac:dyDescent="0.35"/>
    <row r="1239" ht="30" customHeight="1" x14ac:dyDescent="0.35"/>
    <row r="1240" ht="30" customHeight="1" x14ac:dyDescent="0.35"/>
    <row r="1241" ht="30" customHeight="1" x14ac:dyDescent="0.35"/>
    <row r="1242" ht="30" customHeight="1" x14ac:dyDescent="0.35"/>
    <row r="1243" ht="30" customHeight="1" x14ac:dyDescent="0.35"/>
    <row r="1244" ht="30" customHeight="1" x14ac:dyDescent="0.35"/>
    <row r="1245" ht="30" customHeight="1" x14ac:dyDescent="0.35"/>
    <row r="1246" ht="30" customHeight="1" x14ac:dyDescent="0.35"/>
    <row r="1247" ht="30" customHeight="1" x14ac:dyDescent="0.35"/>
    <row r="1248" ht="30" customHeight="1" x14ac:dyDescent="0.35"/>
    <row r="1249" ht="30" customHeight="1" x14ac:dyDescent="0.35"/>
    <row r="1250" ht="30" customHeight="1" x14ac:dyDescent="0.35"/>
    <row r="1251" ht="30" customHeight="1" x14ac:dyDescent="0.35"/>
    <row r="1252" ht="30" customHeight="1" x14ac:dyDescent="0.35"/>
    <row r="1253" ht="30" customHeight="1" x14ac:dyDescent="0.35"/>
    <row r="1254" ht="30" customHeight="1" x14ac:dyDescent="0.35"/>
    <row r="1255" ht="30" customHeight="1" x14ac:dyDescent="0.35"/>
    <row r="1256" ht="30" customHeight="1" x14ac:dyDescent="0.35"/>
    <row r="1257" ht="30" customHeight="1" x14ac:dyDescent="0.35"/>
    <row r="1258" ht="30" customHeight="1" x14ac:dyDescent="0.35"/>
    <row r="1259" ht="30" customHeight="1" x14ac:dyDescent="0.35"/>
    <row r="1260" ht="30" customHeight="1" x14ac:dyDescent="0.35"/>
    <row r="1261" ht="30" customHeight="1" x14ac:dyDescent="0.35"/>
    <row r="1262" ht="30" customHeight="1" x14ac:dyDescent="0.35"/>
    <row r="1263" ht="30" customHeight="1" x14ac:dyDescent="0.35"/>
    <row r="1264" ht="30" customHeight="1" x14ac:dyDescent="0.35"/>
    <row r="1265" ht="30" customHeight="1" x14ac:dyDescent="0.35"/>
    <row r="1266" ht="30" customHeight="1" x14ac:dyDescent="0.35"/>
    <row r="1267" ht="30" customHeight="1" x14ac:dyDescent="0.35"/>
    <row r="1268" ht="30" customHeight="1" x14ac:dyDescent="0.35"/>
    <row r="1269" ht="30" customHeight="1" x14ac:dyDescent="0.35"/>
    <row r="1270" ht="30" customHeight="1" x14ac:dyDescent="0.35"/>
    <row r="1271" ht="30" customHeight="1" x14ac:dyDescent="0.35"/>
    <row r="1272" ht="30" customHeight="1" x14ac:dyDescent="0.35"/>
    <row r="1273" ht="30" customHeight="1" x14ac:dyDescent="0.35"/>
    <row r="1274" ht="30" customHeight="1" x14ac:dyDescent="0.35"/>
    <row r="1275" ht="30" customHeight="1" x14ac:dyDescent="0.35"/>
    <row r="1276" ht="30" customHeight="1" x14ac:dyDescent="0.35"/>
    <row r="1277" ht="30" customHeight="1" x14ac:dyDescent="0.35"/>
    <row r="1278" ht="30" customHeight="1" x14ac:dyDescent="0.35"/>
    <row r="1279" ht="30" customHeight="1" x14ac:dyDescent="0.35"/>
    <row r="1280" ht="30" customHeight="1" x14ac:dyDescent="0.35"/>
    <row r="1281" ht="30" customHeight="1" x14ac:dyDescent="0.35"/>
    <row r="1282" ht="30" customHeight="1" x14ac:dyDescent="0.35"/>
    <row r="1283" ht="30" customHeight="1" x14ac:dyDescent="0.35"/>
    <row r="1284" ht="30" customHeight="1" x14ac:dyDescent="0.35"/>
    <row r="1285" ht="30" customHeight="1" x14ac:dyDescent="0.35"/>
    <row r="1286" ht="30" customHeight="1" x14ac:dyDescent="0.35"/>
    <row r="1287" ht="30" customHeight="1" x14ac:dyDescent="0.35"/>
    <row r="1288" ht="30" customHeight="1" x14ac:dyDescent="0.35"/>
    <row r="1289" ht="30" customHeight="1" x14ac:dyDescent="0.35"/>
    <row r="1290" ht="30" customHeight="1" x14ac:dyDescent="0.35"/>
    <row r="1291" ht="30" customHeight="1" x14ac:dyDescent="0.35"/>
    <row r="1292" ht="30" customHeight="1" x14ac:dyDescent="0.35"/>
    <row r="1293" ht="30" customHeight="1" x14ac:dyDescent="0.35"/>
    <row r="1294" ht="30" customHeight="1" x14ac:dyDescent="0.35"/>
    <row r="1295" ht="30" customHeight="1" x14ac:dyDescent="0.35"/>
    <row r="1296" ht="30" customHeight="1" x14ac:dyDescent="0.35"/>
    <row r="1297" ht="30" customHeight="1" x14ac:dyDescent="0.35"/>
    <row r="1298" ht="30" customHeight="1" x14ac:dyDescent="0.35"/>
    <row r="1299" ht="30" customHeight="1" x14ac:dyDescent="0.35"/>
    <row r="1300" ht="30" customHeight="1" x14ac:dyDescent="0.35"/>
    <row r="1301" ht="30" customHeight="1" x14ac:dyDescent="0.35"/>
    <row r="1302" ht="30" customHeight="1" x14ac:dyDescent="0.35"/>
    <row r="1303" ht="30" customHeight="1" x14ac:dyDescent="0.35"/>
    <row r="1304" ht="30" customHeight="1" x14ac:dyDescent="0.35"/>
    <row r="1305" ht="30" customHeight="1" x14ac:dyDescent="0.35"/>
    <row r="1306" ht="30" customHeight="1" x14ac:dyDescent="0.35"/>
    <row r="1307" ht="30" customHeight="1" x14ac:dyDescent="0.35"/>
    <row r="1308" ht="30" customHeight="1" x14ac:dyDescent="0.35"/>
    <row r="1309" ht="30" customHeight="1" x14ac:dyDescent="0.35"/>
    <row r="1310" ht="30" customHeight="1" x14ac:dyDescent="0.35"/>
    <row r="1311" ht="30" customHeight="1" x14ac:dyDescent="0.35"/>
    <row r="1312" ht="30" customHeight="1" x14ac:dyDescent="0.35"/>
    <row r="1313" ht="30" customHeight="1" x14ac:dyDescent="0.35"/>
    <row r="1314" ht="30" customHeight="1" x14ac:dyDescent="0.35"/>
    <row r="1315" ht="30" customHeight="1" x14ac:dyDescent="0.35"/>
    <row r="1316" ht="30" customHeight="1" x14ac:dyDescent="0.35"/>
    <row r="1317" ht="30" customHeight="1" x14ac:dyDescent="0.35"/>
    <row r="1318" ht="30" customHeight="1" x14ac:dyDescent="0.35"/>
    <row r="1319" ht="30" customHeight="1" x14ac:dyDescent="0.35"/>
    <row r="1320" ht="30" customHeight="1" x14ac:dyDescent="0.35"/>
    <row r="1321" ht="30" customHeight="1" x14ac:dyDescent="0.35"/>
    <row r="1322" ht="30" customHeight="1" x14ac:dyDescent="0.35"/>
    <row r="1323" ht="30" customHeight="1" x14ac:dyDescent="0.35"/>
    <row r="1324" ht="30" customHeight="1" x14ac:dyDescent="0.35"/>
    <row r="1325" ht="30" customHeight="1" x14ac:dyDescent="0.35"/>
    <row r="1326" ht="30" customHeight="1" x14ac:dyDescent="0.35"/>
    <row r="1327" ht="30" customHeight="1" x14ac:dyDescent="0.35"/>
    <row r="1328" ht="30" customHeight="1" x14ac:dyDescent="0.35"/>
    <row r="1329" ht="30" customHeight="1" x14ac:dyDescent="0.35"/>
    <row r="1330" ht="30" customHeight="1" x14ac:dyDescent="0.35"/>
    <row r="1331" ht="30" customHeight="1" x14ac:dyDescent="0.35"/>
    <row r="1332" ht="30" customHeight="1" x14ac:dyDescent="0.35"/>
    <row r="1333" ht="30" customHeight="1" x14ac:dyDescent="0.35"/>
    <row r="1334" ht="30" customHeight="1" x14ac:dyDescent="0.35"/>
    <row r="1335" ht="30" customHeight="1" x14ac:dyDescent="0.35"/>
    <row r="1336" ht="30" customHeight="1" x14ac:dyDescent="0.35"/>
    <row r="1337" ht="30" customHeight="1" x14ac:dyDescent="0.35"/>
    <row r="1338" ht="30" customHeight="1" x14ac:dyDescent="0.35"/>
    <row r="1339" ht="30" customHeight="1" x14ac:dyDescent="0.35"/>
    <row r="1340" ht="30" customHeight="1" x14ac:dyDescent="0.35"/>
    <row r="1341" ht="30" customHeight="1" x14ac:dyDescent="0.35"/>
    <row r="1342" ht="30" customHeight="1" x14ac:dyDescent="0.35"/>
    <row r="1343" ht="30" customHeight="1" x14ac:dyDescent="0.35"/>
    <row r="1344" ht="30" customHeight="1" x14ac:dyDescent="0.35"/>
    <row r="1345" ht="30" customHeight="1" x14ac:dyDescent="0.35"/>
    <row r="1346" ht="30" customHeight="1" x14ac:dyDescent="0.35"/>
    <row r="1347" ht="30" customHeight="1" x14ac:dyDescent="0.35"/>
    <row r="1348" ht="30" customHeight="1" x14ac:dyDescent="0.35"/>
    <row r="1349" ht="30" customHeight="1" x14ac:dyDescent="0.35"/>
    <row r="1350" ht="30" customHeight="1" x14ac:dyDescent="0.35"/>
    <row r="1351" ht="30" customHeight="1" x14ac:dyDescent="0.35"/>
    <row r="1352" ht="30" customHeight="1" x14ac:dyDescent="0.35"/>
    <row r="1353" ht="30" customHeight="1" x14ac:dyDescent="0.35"/>
    <row r="1354" ht="30" customHeight="1" x14ac:dyDescent="0.35"/>
    <row r="1355" ht="30" customHeight="1" x14ac:dyDescent="0.35"/>
    <row r="1356" ht="30" customHeight="1" x14ac:dyDescent="0.35"/>
    <row r="1357" ht="30" customHeight="1" x14ac:dyDescent="0.35"/>
    <row r="1358" ht="30" customHeight="1" x14ac:dyDescent="0.35"/>
    <row r="1359" ht="30" customHeight="1" x14ac:dyDescent="0.35"/>
    <row r="1360" ht="30" customHeight="1" x14ac:dyDescent="0.35"/>
    <row r="1361" ht="30" customHeight="1" x14ac:dyDescent="0.35"/>
    <row r="1362" ht="30" customHeight="1" x14ac:dyDescent="0.35"/>
    <row r="1363" ht="30" customHeight="1" x14ac:dyDescent="0.35"/>
    <row r="1364" ht="30" customHeight="1" x14ac:dyDescent="0.35"/>
    <row r="1365" ht="30" customHeight="1" x14ac:dyDescent="0.35"/>
    <row r="1366" ht="30" customHeight="1" x14ac:dyDescent="0.35"/>
    <row r="1367" ht="30" customHeight="1" x14ac:dyDescent="0.35"/>
    <row r="1368" ht="30" customHeight="1" x14ac:dyDescent="0.35"/>
    <row r="1369" ht="30" customHeight="1" x14ac:dyDescent="0.35"/>
    <row r="1370" ht="30" customHeight="1" x14ac:dyDescent="0.35"/>
    <row r="1371" ht="30" customHeight="1" x14ac:dyDescent="0.35"/>
    <row r="1372" ht="30" customHeight="1" x14ac:dyDescent="0.35"/>
    <row r="1373" ht="30" customHeight="1" x14ac:dyDescent="0.35"/>
    <row r="1374" ht="30" customHeight="1" x14ac:dyDescent="0.35"/>
    <row r="1375" ht="30" customHeight="1" x14ac:dyDescent="0.35"/>
    <row r="1376" ht="30" customHeight="1" x14ac:dyDescent="0.35"/>
    <row r="1377" ht="30" customHeight="1" x14ac:dyDescent="0.35"/>
    <row r="1378" ht="30" customHeight="1" x14ac:dyDescent="0.35"/>
    <row r="1379" ht="30" customHeight="1" x14ac:dyDescent="0.35"/>
    <row r="1380" ht="30" customHeight="1" x14ac:dyDescent="0.35"/>
    <row r="1381" ht="30" customHeight="1" x14ac:dyDescent="0.35"/>
    <row r="1382" ht="30" customHeight="1" x14ac:dyDescent="0.35"/>
    <row r="1383" ht="30" customHeight="1" x14ac:dyDescent="0.35"/>
    <row r="1384" ht="30" customHeight="1" x14ac:dyDescent="0.35"/>
    <row r="1385" ht="30" customHeight="1" x14ac:dyDescent="0.35"/>
    <row r="1386" ht="30" customHeight="1" x14ac:dyDescent="0.35"/>
    <row r="1387" ht="30" customHeight="1" x14ac:dyDescent="0.35"/>
    <row r="1388" ht="30" customHeight="1" x14ac:dyDescent="0.35"/>
    <row r="1389" ht="30" customHeight="1" x14ac:dyDescent="0.35"/>
    <row r="1390" ht="30" customHeight="1" x14ac:dyDescent="0.35"/>
    <row r="1391" ht="30" customHeight="1" x14ac:dyDescent="0.35"/>
    <row r="1392" ht="30" customHeight="1" x14ac:dyDescent="0.35"/>
    <row r="1393" ht="30" customHeight="1" x14ac:dyDescent="0.35"/>
    <row r="1394" ht="30" customHeight="1" x14ac:dyDescent="0.35"/>
    <row r="1395" ht="30" customHeight="1" x14ac:dyDescent="0.35"/>
    <row r="1396" ht="30" customHeight="1" x14ac:dyDescent="0.35"/>
    <row r="1397" ht="30" customHeight="1" x14ac:dyDescent="0.35"/>
    <row r="1398" ht="30" customHeight="1" x14ac:dyDescent="0.35"/>
    <row r="1399" ht="30" customHeight="1" x14ac:dyDescent="0.35"/>
    <row r="1400" ht="30" customHeight="1" x14ac:dyDescent="0.35"/>
    <row r="1401" ht="30" customHeight="1" x14ac:dyDescent="0.35"/>
    <row r="1402" ht="30" customHeight="1" x14ac:dyDescent="0.35"/>
    <row r="1403" ht="30" customHeight="1" x14ac:dyDescent="0.35"/>
    <row r="1404" ht="30" customHeight="1" x14ac:dyDescent="0.35"/>
    <row r="1405" ht="30" customHeight="1" x14ac:dyDescent="0.35"/>
    <row r="1406" ht="30" customHeight="1" x14ac:dyDescent="0.35"/>
    <row r="1407" ht="30" customHeight="1" x14ac:dyDescent="0.35"/>
    <row r="1408" ht="30" customHeight="1" x14ac:dyDescent="0.35"/>
    <row r="1409" ht="30" customHeight="1" x14ac:dyDescent="0.35"/>
    <row r="1410" ht="30" customHeight="1" x14ac:dyDescent="0.35"/>
    <row r="1411" ht="30" customHeight="1" x14ac:dyDescent="0.35"/>
    <row r="1412" ht="30" customHeight="1" x14ac:dyDescent="0.35"/>
    <row r="1413" ht="30" customHeight="1" x14ac:dyDescent="0.35"/>
    <row r="1414" ht="30" customHeight="1" x14ac:dyDescent="0.35"/>
    <row r="1415" ht="30" customHeight="1" x14ac:dyDescent="0.35"/>
    <row r="1416" ht="30" customHeight="1" x14ac:dyDescent="0.35"/>
    <row r="1417" ht="30" customHeight="1" x14ac:dyDescent="0.35"/>
    <row r="1418" ht="30" customHeight="1" x14ac:dyDescent="0.35"/>
    <row r="1419" ht="30" customHeight="1" x14ac:dyDescent="0.35"/>
    <row r="1420" ht="30" customHeight="1" x14ac:dyDescent="0.35"/>
    <row r="1421" ht="30" customHeight="1" x14ac:dyDescent="0.35"/>
    <row r="1422" ht="30" customHeight="1" x14ac:dyDescent="0.35"/>
    <row r="1423" ht="30" customHeight="1" x14ac:dyDescent="0.35"/>
    <row r="1424" ht="30" customHeight="1" x14ac:dyDescent="0.35"/>
    <row r="1425" ht="30" customHeight="1" x14ac:dyDescent="0.35"/>
    <row r="1426" ht="30" customHeight="1" x14ac:dyDescent="0.35"/>
    <row r="1427" ht="30" customHeight="1" x14ac:dyDescent="0.35"/>
    <row r="1428" ht="30" customHeight="1" x14ac:dyDescent="0.35"/>
    <row r="1429" ht="30" customHeight="1" x14ac:dyDescent="0.35"/>
    <row r="1430" ht="30" customHeight="1" x14ac:dyDescent="0.35"/>
    <row r="1431" ht="30" customHeight="1" x14ac:dyDescent="0.35"/>
    <row r="1432" ht="30" customHeight="1" x14ac:dyDescent="0.35"/>
    <row r="1433" ht="30" customHeight="1" x14ac:dyDescent="0.35"/>
    <row r="1434" ht="30" customHeight="1" x14ac:dyDescent="0.35"/>
    <row r="1435" ht="30" customHeight="1" x14ac:dyDescent="0.35"/>
    <row r="1436" ht="30" customHeight="1" x14ac:dyDescent="0.35"/>
    <row r="1437" ht="30" customHeight="1" x14ac:dyDescent="0.35"/>
    <row r="1438" ht="30" customHeight="1" x14ac:dyDescent="0.35"/>
    <row r="1439" ht="30" customHeight="1" x14ac:dyDescent="0.35"/>
    <row r="1440" ht="30" customHeight="1" x14ac:dyDescent="0.35"/>
    <row r="1441" ht="30" customHeight="1" x14ac:dyDescent="0.35"/>
    <row r="1442" ht="30" customHeight="1" x14ac:dyDescent="0.35"/>
    <row r="1443" ht="30" customHeight="1" x14ac:dyDescent="0.35"/>
    <row r="1444" ht="30" customHeight="1" x14ac:dyDescent="0.35"/>
    <row r="1445" ht="30" customHeight="1" x14ac:dyDescent="0.35"/>
    <row r="1446" ht="30" customHeight="1" x14ac:dyDescent="0.35"/>
    <row r="1447" ht="30" customHeight="1" x14ac:dyDescent="0.35"/>
    <row r="1448" ht="30" customHeight="1" x14ac:dyDescent="0.35"/>
    <row r="1449" ht="30" customHeight="1" x14ac:dyDescent="0.35"/>
    <row r="1450" ht="30" customHeight="1" x14ac:dyDescent="0.35"/>
    <row r="1451" ht="30" customHeight="1" x14ac:dyDescent="0.35"/>
    <row r="1452" ht="30" customHeight="1" x14ac:dyDescent="0.35"/>
    <row r="1453" ht="30" customHeight="1" x14ac:dyDescent="0.35"/>
    <row r="1454" ht="30" customHeight="1" x14ac:dyDescent="0.35"/>
    <row r="1455" ht="30" customHeight="1" x14ac:dyDescent="0.35"/>
    <row r="1456" ht="30" customHeight="1" x14ac:dyDescent="0.35"/>
    <row r="1457" ht="30" customHeight="1" x14ac:dyDescent="0.35"/>
    <row r="1458" ht="30" customHeight="1" x14ac:dyDescent="0.35"/>
    <row r="1459" ht="30" customHeight="1" x14ac:dyDescent="0.35"/>
    <row r="1460" ht="30" customHeight="1" x14ac:dyDescent="0.35"/>
    <row r="1461" ht="30" customHeight="1" x14ac:dyDescent="0.35"/>
    <row r="1462" ht="30" customHeight="1" x14ac:dyDescent="0.35"/>
    <row r="1463" ht="30" customHeight="1" x14ac:dyDescent="0.35"/>
    <row r="1464" ht="30" customHeight="1" x14ac:dyDescent="0.35"/>
    <row r="1465" ht="30" customHeight="1" x14ac:dyDescent="0.35"/>
    <row r="1466" ht="30" customHeight="1" x14ac:dyDescent="0.35"/>
    <row r="1467" ht="30" customHeight="1" x14ac:dyDescent="0.35"/>
    <row r="1468" ht="30" customHeight="1" x14ac:dyDescent="0.35"/>
    <row r="1469" ht="30" customHeight="1" x14ac:dyDescent="0.35"/>
    <row r="1470" ht="30" customHeight="1" x14ac:dyDescent="0.35"/>
    <row r="1471" ht="30" customHeight="1" x14ac:dyDescent="0.35"/>
    <row r="1472" ht="30" customHeight="1" x14ac:dyDescent="0.35"/>
    <row r="1473" ht="30" customHeight="1" x14ac:dyDescent="0.35"/>
    <row r="1474" ht="30" customHeight="1" x14ac:dyDescent="0.35"/>
    <row r="1475" ht="30" customHeight="1" x14ac:dyDescent="0.35"/>
    <row r="1476" ht="30" customHeight="1" x14ac:dyDescent="0.35"/>
    <row r="1477" ht="30" customHeight="1" x14ac:dyDescent="0.35"/>
    <row r="1478" ht="30" customHeight="1" x14ac:dyDescent="0.35"/>
    <row r="1479" ht="30" customHeight="1" x14ac:dyDescent="0.35"/>
    <row r="1480" ht="30" customHeight="1" x14ac:dyDescent="0.35"/>
    <row r="1481" ht="30" customHeight="1" x14ac:dyDescent="0.35"/>
    <row r="1482" ht="30" customHeight="1" x14ac:dyDescent="0.35"/>
    <row r="1483" ht="30" customHeight="1" x14ac:dyDescent="0.35"/>
    <row r="1484" ht="30" customHeight="1" x14ac:dyDescent="0.35"/>
    <row r="1485" ht="30" customHeight="1" x14ac:dyDescent="0.35"/>
    <row r="1486" ht="30" customHeight="1" x14ac:dyDescent="0.35"/>
    <row r="1487" ht="30" customHeight="1" x14ac:dyDescent="0.35"/>
    <row r="1488" ht="30" customHeight="1" x14ac:dyDescent="0.35"/>
    <row r="1489" ht="30" customHeight="1" x14ac:dyDescent="0.35"/>
    <row r="1490" ht="30" customHeight="1" x14ac:dyDescent="0.35"/>
    <row r="1491" ht="30" customHeight="1" x14ac:dyDescent="0.35"/>
    <row r="1492" ht="30" customHeight="1" x14ac:dyDescent="0.35"/>
    <row r="1493" ht="30" customHeight="1" x14ac:dyDescent="0.35"/>
    <row r="1494" ht="30" customHeight="1" x14ac:dyDescent="0.35"/>
    <row r="1495" ht="30" customHeight="1" x14ac:dyDescent="0.35"/>
    <row r="1496" ht="30" customHeight="1" x14ac:dyDescent="0.35"/>
    <row r="1497" ht="30" customHeight="1" x14ac:dyDescent="0.35"/>
    <row r="1498" ht="30" customHeight="1" x14ac:dyDescent="0.35"/>
    <row r="1499" ht="30" customHeight="1" x14ac:dyDescent="0.35"/>
    <row r="1500" ht="30" customHeight="1" x14ac:dyDescent="0.35"/>
    <row r="1501" ht="30" customHeight="1" x14ac:dyDescent="0.35"/>
    <row r="1502" ht="30" customHeight="1" x14ac:dyDescent="0.35"/>
    <row r="1503" ht="30" customHeight="1" x14ac:dyDescent="0.35"/>
    <row r="1504" ht="30" customHeight="1" x14ac:dyDescent="0.35"/>
    <row r="1505" ht="30" customHeight="1" x14ac:dyDescent="0.35"/>
    <row r="1506" ht="30" customHeight="1" x14ac:dyDescent="0.35"/>
    <row r="1507" ht="30" customHeight="1" x14ac:dyDescent="0.35"/>
    <row r="1508" ht="30" customHeight="1" x14ac:dyDescent="0.35"/>
    <row r="1509" ht="30" customHeight="1" x14ac:dyDescent="0.35"/>
    <row r="1510" ht="30" customHeight="1" x14ac:dyDescent="0.35"/>
    <row r="1511" ht="30" customHeight="1" x14ac:dyDescent="0.35"/>
    <row r="1512" ht="30" customHeight="1" x14ac:dyDescent="0.35"/>
    <row r="1513" ht="30" customHeight="1" x14ac:dyDescent="0.35"/>
    <row r="1514" ht="30" customHeight="1" x14ac:dyDescent="0.35"/>
    <row r="1515" ht="30" customHeight="1" x14ac:dyDescent="0.35"/>
    <row r="1516" ht="30" customHeight="1" x14ac:dyDescent="0.35"/>
    <row r="1517" ht="30" customHeight="1" x14ac:dyDescent="0.35"/>
    <row r="1518" ht="30" customHeight="1" x14ac:dyDescent="0.35"/>
    <row r="1519" ht="30" customHeight="1" x14ac:dyDescent="0.35"/>
    <row r="1520" ht="30" customHeight="1" x14ac:dyDescent="0.35"/>
    <row r="1521" ht="30" customHeight="1" x14ac:dyDescent="0.35"/>
    <row r="1522" ht="30" customHeight="1" x14ac:dyDescent="0.35"/>
    <row r="1523" ht="30" customHeight="1" x14ac:dyDescent="0.35"/>
    <row r="1524" ht="30" customHeight="1" x14ac:dyDescent="0.35"/>
    <row r="1525" ht="30" customHeight="1" x14ac:dyDescent="0.35"/>
    <row r="1526" ht="30" customHeight="1" x14ac:dyDescent="0.35"/>
    <row r="1527" ht="30" customHeight="1" x14ac:dyDescent="0.35"/>
    <row r="1528" ht="30" customHeight="1" x14ac:dyDescent="0.35"/>
    <row r="1529" ht="30" customHeight="1" x14ac:dyDescent="0.35"/>
    <row r="1530" ht="30" customHeight="1" x14ac:dyDescent="0.35"/>
    <row r="1531" ht="30" customHeight="1" x14ac:dyDescent="0.35"/>
    <row r="1532" ht="30" customHeight="1" x14ac:dyDescent="0.35"/>
    <row r="1533" ht="30" customHeight="1" x14ac:dyDescent="0.35"/>
    <row r="1534" ht="30" customHeight="1" x14ac:dyDescent="0.35"/>
    <row r="1535" ht="30" customHeight="1" x14ac:dyDescent="0.35"/>
    <row r="1536" ht="30" customHeight="1" x14ac:dyDescent="0.35"/>
    <row r="1537" ht="30" customHeight="1" x14ac:dyDescent="0.35"/>
    <row r="1538" ht="30" customHeight="1" x14ac:dyDescent="0.35"/>
    <row r="1539" ht="30" customHeight="1" x14ac:dyDescent="0.35"/>
    <row r="1540" ht="30" customHeight="1" x14ac:dyDescent="0.35"/>
    <row r="1541" ht="30" customHeight="1" x14ac:dyDescent="0.35"/>
    <row r="1542" ht="30" customHeight="1" x14ac:dyDescent="0.35"/>
    <row r="1543" ht="30" customHeight="1" x14ac:dyDescent="0.35"/>
    <row r="1544" ht="30" customHeight="1" x14ac:dyDescent="0.35"/>
    <row r="1545" ht="30" customHeight="1" x14ac:dyDescent="0.35"/>
    <row r="1546" ht="30" customHeight="1" x14ac:dyDescent="0.35"/>
    <row r="1547" ht="30" customHeight="1" x14ac:dyDescent="0.35"/>
    <row r="1548" ht="30" customHeight="1" x14ac:dyDescent="0.35"/>
    <row r="1549" ht="30" customHeight="1" x14ac:dyDescent="0.35"/>
    <row r="1550" ht="30" customHeight="1" x14ac:dyDescent="0.35"/>
    <row r="1551" ht="30" customHeight="1" x14ac:dyDescent="0.35"/>
    <row r="1552" ht="30" customHeight="1" x14ac:dyDescent="0.35"/>
    <row r="1553" ht="30" customHeight="1" x14ac:dyDescent="0.35"/>
    <row r="1554" ht="30" customHeight="1" x14ac:dyDescent="0.35"/>
    <row r="1555" ht="30" customHeight="1" x14ac:dyDescent="0.35"/>
    <row r="1556" ht="30" customHeight="1" x14ac:dyDescent="0.35"/>
    <row r="1557" ht="30" customHeight="1" x14ac:dyDescent="0.35"/>
    <row r="1558" ht="30" customHeight="1" x14ac:dyDescent="0.35"/>
    <row r="1559" ht="30" customHeight="1" x14ac:dyDescent="0.35"/>
    <row r="1560" ht="30" customHeight="1" x14ac:dyDescent="0.35"/>
    <row r="1561" ht="30" customHeight="1" x14ac:dyDescent="0.35"/>
    <row r="1562" ht="30" customHeight="1" x14ac:dyDescent="0.35"/>
    <row r="1563" ht="30" customHeight="1" x14ac:dyDescent="0.35"/>
    <row r="1564" ht="30" customHeight="1" x14ac:dyDescent="0.35"/>
    <row r="1565" ht="30" customHeight="1" x14ac:dyDescent="0.35"/>
    <row r="1566" ht="30" customHeight="1" x14ac:dyDescent="0.35"/>
    <row r="1567" ht="30" customHeight="1" x14ac:dyDescent="0.35"/>
    <row r="1568" ht="30" customHeight="1" x14ac:dyDescent="0.35"/>
    <row r="1569" ht="30" customHeight="1" x14ac:dyDescent="0.35"/>
    <row r="1570" ht="30" customHeight="1" x14ac:dyDescent="0.35"/>
    <row r="1571" ht="30" customHeight="1" x14ac:dyDescent="0.35"/>
    <row r="1572" ht="30" customHeight="1" x14ac:dyDescent="0.35"/>
    <row r="1573" ht="30" customHeight="1" x14ac:dyDescent="0.35"/>
    <row r="1574" ht="30" customHeight="1" x14ac:dyDescent="0.35"/>
    <row r="1575" ht="30" customHeight="1" x14ac:dyDescent="0.35"/>
    <row r="1576" ht="30" customHeight="1" x14ac:dyDescent="0.35"/>
    <row r="1577" ht="30" customHeight="1" x14ac:dyDescent="0.35"/>
    <row r="1578" ht="30" customHeight="1" x14ac:dyDescent="0.35"/>
    <row r="1579" ht="30" customHeight="1" x14ac:dyDescent="0.35"/>
    <row r="1580" ht="30" customHeight="1" x14ac:dyDescent="0.35"/>
    <row r="1581" ht="30" customHeight="1" x14ac:dyDescent="0.35"/>
    <row r="1582" ht="30" customHeight="1" x14ac:dyDescent="0.35"/>
    <row r="1583" ht="30" customHeight="1" x14ac:dyDescent="0.35"/>
    <row r="1584" ht="30" customHeight="1" x14ac:dyDescent="0.35"/>
    <row r="1585" ht="30" customHeight="1" x14ac:dyDescent="0.35"/>
    <row r="1586" ht="30" customHeight="1" x14ac:dyDescent="0.35"/>
    <row r="1587" ht="30" customHeight="1" x14ac:dyDescent="0.35"/>
    <row r="1588" ht="30" customHeight="1" x14ac:dyDescent="0.35"/>
    <row r="1589" ht="30" customHeight="1" x14ac:dyDescent="0.35"/>
    <row r="1590" ht="30" customHeight="1" x14ac:dyDescent="0.35"/>
    <row r="1591" ht="30" customHeight="1" x14ac:dyDescent="0.35"/>
    <row r="1592" ht="30" customHeight="1" x14ac:dyDescent="0.35"/>
    <row r="1593" ht="30" customHeight="1" x14ac:dyDescent="0.35"/>
    <row r="1594" ht="30" customHeight="1" x14ac:dyDescent="0.35"/>
    <row r="1595" ht="30" customHeight="1" x14ac:dyDescent="0.35"/>
    <row r="1596" ht="30" customHeight="1" x14ac:dyDescent="0.35"/>
    <row r="1597" ht="30" customHeight="1" x14ac:dyDescent="0.35"/>
    <row r="1598" ht="30" customHeight="1" x14ac:dyDescent="0.35"/>
    <row r="1599" ht="30" customHeight="1" x14ac:dyDescent="0.35"/>
    <row r="1600" ht="30" customHeight="1" x14ac:dyDescent="0.35"/>
    <row r="1601" ht="30" customHeight="1" x14ac:dyDescent="0.35"/>
    <row r="1602" ht="30" customHeight="1" x14ac:dyDescent="0.35"/>
    <row r="1603" ht="30" customHeight="1" x14ac:dyDescent="0.35"/>
    <row r="1604" ht="30" customHeight="1" x14ac:dyDescent="0.35"/>
    <row r="1605" ht="30" customHeight="1" x14ac:dyDescent="0.35"/>
    <row r="1606" ht="30" customHeight="1" x14ac:dyDescent="0.35"/>
    <row r="1607" ht="30" customHeight="1" x14ac:dyDescent="0.35"/>
    <row r="1608" ht="30" customHeight="1" x14ac:dyDescent="0.35"/>
    <row r="1609" ht="30" customHeight="1" x14ac:dyDescent="0.35"/>
    <row r="1610" ht="30" customHeight="1" x14ac:dyDescent="0.35"/>
    <row r="1611" ht="30" customHeight="1" x14ac:dyDescent="0.35"/>
    <row r="1612" ht="30" customHeight="1" x14ac:dyDescent="0.35"/>
    <row r="1613" ht="30" customHeight="1" x14ac:dyDescent="0.35"/>
    <row r="1614" ht="30" customHeight="1" x14ac:dyDescent="0.35"/>
    <row r="1615" ht="30" customHeight="1" x14ac:dyDescent="0.35"/>
    <row r="1616" ht="30" customHeight="1" x14ac:dyDescent="0.35"/>
    <row r="1617" ht="30" customHeight="1" x14ac:dyDescent="0.35"/>
    <row r="1618" ht="30" customHeight="1" x14ac:dyDescent="0.35"/>
    <row r="1619" ht="30" customHeight="1" x14ac:dyDescent="0.35"/>
    <row r="1620" ht="30" customHeight="1" x14ac:dyDescent="0.35"/>
    <row r="1621" ht="30" customHeight="1" x14ac:dyDescent="0.35"/>
    <row r="1622" ht="30" customHeight="1" x14ac:dyDescent="0.35"/>
    <row r="1623" ht="30" customHeight="1" x14ac:dyDescent="0.35"/>
    <row r="1624" ht="30" customHeight="1" x14ac:dyDescent="0.35"/>
    <row r="1625" ht="30" customHeight="1" x14ac:dyDescent="0.35"/>
    <row r="1626" ht="30" customHeight="1" x14ac:dyDescent="0.35"/>
    <row r="1627" ht="30" customHeight="1" x14ac:dyDescent="0.35"/>
    <row r="1628" ht="30" customHeight="1" x14ac:dyDescent="0.35"/>
    <row r="1629" ht="30" customHeight="1" x14ac:dyDescent="0.35"/>
    <row r="1630" ht="30" customHeight="1" x14ac:dyDescent="0.35"/>
    <row r="1631" ht="30" customHeight="1" x14ac:dyDescent="0.35"/>
    <row r="1632" ht="30" customHeight="1" x14ac:dyDescent="0.35"/>
    <row r="1633" ht="30" customHeight="1" x14ac:dyDescent="0.35"/>
    <row r="1634" ht="30" customHeight="1" x14ac:dyDescent="0.35"/>
    <row r="1635" ht="30" customHeight="1" x14ac:dyDescent="0.35"/>
    <row r="1636" ht="30" customHeight="1" x14ac:dyDescent="0.35"/>
    <row r="1637" ht="30" customHeight="1" x14ac:dyDescent="0.35"/>
    <row r="1638" ht="30" customHeight="1" x14ac:dyDescent="0.35"/>
    <row r="1639" ht="30" customHeight="1" x14ac:dyDescent="0.35"/>
    <row r="1640" ht="30" customHeight="1" x14ac:dyDescent="0.35"/>
    <row r="1641" ht="30" customHeight="1" x14ac:dyDescent="0.35"/>
    <row r="1642" ht="30" customHeight="1" x14ac:dyDescent="0.35"/>
    <row r="1643" ht="30" customHeight="1" x14ac:dyDescent="0.35"/>
    <row r="1644" ht="30" customHeight="1" x14ac:dyDescent="0.35"/>
    <row r="1645" ht="30" customHeight="1" x14ac:dyDescent="0.35"/>
    <row r="1646" ht="30" customHeight="1" x14ac:dyDescent="0.35"/>
    <row r="1647" ht="30" customHeight="1" x14ac:dyDescent="0.35"/>
    <row r="1648" ht="30" customHeight="1" x14ac:dyDescent="0.35"/>
    <row r="1649" ht="30" customHeight="1" x14ac:dyDescent="0.35"/>
    <row r="1650" ht="30" customHeight="1" x14ac:dyDescent="0.35"/>
    <row r="1651" ht="30" customHeight="1" x14ac:dyDescent="0.35"/>
    <row r="1652" ht="30" customHeight="1" x14ac:dyDescent="0.35"/>
    <row r="1653" ht="30" customHeight="1" x14ac:dyDescent="0.35"/>
    <row r="1654" ht="30" customHeight="1" x14ac:dyDescent="0.35"/>
    <row r="1655" ht="30" customHeight="1" x14ac:dyDescent="0.35"/>
    <row r="1656" ht="30" customHeight="1" x14ac:dyDescent="0.35"/>
    <row r="1657" ht="30" customHeight="1" x14ac:dyDescent="0.35"/>
    <row r="1658" ht="30" customHeight="1" x14ac:dyDescent="0.35"/>
    <row r="1659" ht="30" customHeight="1" x14ac:dyDescent="0.35"/>
    <row r="1660" ht="30" customHeight="1" x14ac:dyDescent="0.35"/>
    <row r="1661" ht="30" customHeight="1" x14ac:dyDescent="0.35"/>
    <row r="1662" ht="30" customHeight="1" x14ac:dyDescent="0.35"/>
    <row r="1663" ht="30" customHeight="1" x14ac:dyDescent="0.35"/>
    <row r="1664" ht="30" customHeight="1" x14ac:dyDescent="0.35"/>
    <row r="1665" ht="30" customHeight="1" x14ac:dyDescent="0.35"/>
    <row r="1666" ht="30" customHeight="1" x14ac:dyDescent="0.35"/>
    <row r="1667" ht="30" customHeight="1" x14ac:dyDescent="0.35"/>
    <row r="1668" ht="30" customHeight="1" x14ac:dyDescent="0.35"/>
    <row r="1669" ht="30" customHeight="1" x14ac:dyDescent="0.35"/>
    <row r="1670" ht="30" customHeight="1" x14ac:dyDescent="0.35"/>
    <row r="1671" ht="30" customHeight="1" x14ac:dyDescent="0.35"/>
    <row r="1672" ht="30" customHeight="1" x14ac:dyDescent="0.35"/>
    <row r="1673" ht="30" customHeight="1" x14ac:dyDescent="0.35"/>
    <row r="1674" ht="30" customHeight="1" x14ac:dyDescent="0.35"/>
    <row r="1675" ht="30" customHeight="1" x14ac:dyDescent="0.35"/>
    <row r="1676" ht="30" customHeight="1" x14ac:dyDescent="0.35"/>
    <row r="1677" ht="30" customHeight="1" x14ac:dyDescent="0.35"/>
    <row r="1678" ht="30" customHeight="1" x14ac:dyDescent="0.35"/>
    <row r="1679" ht="30" customHeight="1" x14ac:dyDescent="0.35"/>
    <row r="1680" ht="30" customHeight="1" x14ac:dyDescent="0.35"/>
    <row r="1681" ht="30" customHeight="1" x14ac:dyDescent="0.35"/>
    <row r="1682" ht="30" customHeight="1" x14ac:dyDescent="0.35"/>
    <row r="1683" ht="30" customHeight="1" x14ac:dyDescent="0.35"/>
    <row r="1684" ht="30" customHeight="1" x14ac:dyDescent="0.35"/>
    <row r="1685" ht="30" customHeight="1" x14ac:dyDescent="0.35"/>
    <row r="1686" ht="30" customHeight="1" x14ac:dyDescent="0.35"/>
    <row r="1687" ht="30" customHeight="1" x14ac:dyDescent="0.35"/>
    <row r="1688" ht="30" customHeight="1" x14ac:dyDescent="0.35"/>
    <row r="1689" ht="30" customHeight="1" x14ac:dyDescent="0.35"/>
    <row r="1690" ht="30" customHeight="1" x14ac:dyDescent="0.35"/>
    <row r="1691" ht="30" customHeight="1" x14ac:dyDescent="0.35"/>
    <row r="1692" ht="30" customHeight="1" x14ac:dyDescent="0.35"/>
    <row r="1693" ht="30" customHeight="1" x14ac:dyDescent="0.35"/>
    <row r="1694" ht="30" customHeight="1" x14ac:dyDescent="0.35"/>
    <row r="1695" ht="30" customHeight="1" x14ac:dyDescent="0.35"/>
    <row r="1696" ht="30" customHeight="1" x14ac:dyDescent="0.35"/>
    <row r="1697" ht="30" customHeight="1" x14ac:dyDescent="0.35"/>
    <row r="1698" ht="30" customHeight="1" x14ac:dyDescent="0.35"/>
    <row r="1699" ht="30" customHeight="1" x14ac:dyDescent="0.35"/>
    <row r="1700" ht="30" customHeight="1" x14ac:dyDescent="0.35"/>
    <row r="1701" ht="30" customHeight="1" x14ac:dyDescent="0.35"/>
    <row r="1702" ht="30" customHeight="1" x14ac:dyDescent="0.35"/>
    <row r="1703" ht="30" customHeight="1" x14ac:dyDescent="0.35"/>
    <row r="1704" ht="30" customHeight="1" x14ac:dyDescent="0.35"/>
    <row r="1705" ht="30" customHeight="1" x14ac:dyDescent="0.35"/>
    <row r="1706" ht="30" customHeight="1" x14ac:dyDescent="0.35"/>
    <row r="1707" ht="30" customHeight="1" x14ac:dyDescent="0.35"/>
    <row r="1708" ht="30" customHeight="1" x14ac:dyDescent="0.35"/>
    <row r="1709" ht="30" customHeight="1" x14ac:dyDescent="0.35"/>
    <row r="1710" ht="30" customHeight="1" x14ac:dyDescent="0.35"/>
    <row r="1711" ht="30" customHeight="1" x14ac:dyDescent="0.35"/>
    <row r="1712" ht="30" customHeight="1" x14ac:dyDescent="0.35"/>
    <row r="1713" ht="30" customHeight="1" x14ac:dyDescent="0.35"/>
    <row r="1714" ht="30" customHeight="1" x14ac:dyDescent="0.35"/>
    <row r="1715" ht="30" customHeight="1" x14ac:dyDescent="0.35"/>
    <row r="1716" ht="30" customHeight="1" x14ac:dyDescent="0.35"/>
    <row r="1717" ht="30" customHeight="1" x14ac:dyDescent="0.35"/>
    <row r="1718" ht="30" customHeight="1" x14ac:dyDescent="0.35"/>
    <row r="1719" ht="30" customHeight="1" x14ac:dyDescent="0.35"/>
    <row r="1720" ht="30" customHeight="1" x14ac:dyDescent="0.35"/>
    <row r="1721" ht="30" customHeight="1" x14ac:dyDescent="0.35"/>
    <row r="1722" ht="30" customHeight="1" x14ac:dyDescent="0.35"/>
    <row r="1723" ht="30" customHeight="1" x14ac:dyDescent="0.35"/>
    <row r="1724" ht="30" customHeight="1" x14ac:dyDescent="0.35"/>
    <row r="1725" ht="30" customHeight="1" x14ac:dyDescent="0.35"/>
    <row r="1726" ht="30" customHeight="1" x14ac:dyDescent="0.35"/>
    <row r="1727" ht="30" customHeight="1" x14ac:dyDescent="0.35"/>
    <row r="1728" ht="30" customHeight="1" x14ac:dyDescent="0.35"/>
    <row r="1729" ht="30" customHeight="1" x14ac:dyDescent="0.35"/>
    <row r="1730" ht="30" customHeight="1" x14ac:dyDescent="0.35"/>
    <row r="1731" ht="30" customHeight="1" x14ac:dyDescent="0.35"/>
    <row r="1732" ht="30" customHeight="1" x14ac:dyDescent="0.35"/>
    <row r="1733" ht="30" customHeight="1" x14ac:dyDescent="0.35"/>
    <row r="1734" ht="30" customHeight="1" x14ac:dyDescent="0.35"/>
    <row r="1735" ht="30" customHeight="1" x14ac:dyDescent="0.35"/>
    <row r="1736" ht="30" customHeight="1" x14ac:dyDescent="0.35"/>
    <row r="1737" ht="30" customHeight="1" x14ac:dyDescent="0.35"/>
    <row r="1738" ht="30" customHeight="1" x14ac:dyDescent="0.35"/>
    <row r="1739" ht="30" customHeight="1" x14ac:dyDescent="0.35"/>
    <row r="1740" ht="30" customHeight="1" x14ac:dyDescent="0.35"/>
    <row r="1741" ht="30" customHeight="1" x14ac:dyDescent="0.35"/>
    <row r="1742" ht="30" customHeight="1" x14ac:dyDescent="0.35"/>
    <row r="1743" ht="30" customHeight="1" x14ac:dyDescent="0.35"/>
    <row r="1744" ht="30" customHeight="1" x14ac:dyDescent="0.35"/>
    <row r="1745" ht="30" customHeight="1" x14ac:dyDescent="0.35"/>
    <row r="1746" ht="30" customHeight="1" x14ac:dyDescent="0.35"/>
    <row r="1747" ht="30" customHeight="1" x14ac:dyDescent="0.35"/>
    <row r="1748" ht="30" customHeight="1" x14ac:dyDescent="0.35"/>
    <row r="1749" ht="30" customHeight="1" x14ac:dyDescent="0.35"/>
    <row r="1750" ht="30" customHeight="1" x14ac:dyDescent="0.35"/>
    <row r="1751" ht="30" customHeight="1" x14ac:dyDescent="0.35"/>
    <row r="1752" ht="30" customHeight="1" x14ac:dyDescent="0.35"/>
    <row r="1753" ht="30" customHeight="1" x14ac:dyDescent="0.35"/>
    <row r="1754" ht="30" customHeight="1" x14ac:dyDescent="0.35"/>
    <row r="1755" ht="30" customHeight="1" x14ac:dyDescent="0.35"/>
    <row r="1756" ht="30" customHeight="1" x14ac:dyDescent="0.35"/>
    <row r="1757" ht="30" customHeight="1" x14ac:dyDescent="0.35"/>
    <row r="1758" ht="30" customHeight="1" x14ac:dyDescent="0.35"/>
    <row r="1759" ht="30" customHeight="1" x14ac:dyDescent="0.35"/>
    <row r="1760" ht="30" customHeight="1" x14ac:dyDescent="0.35"/>
    <row r="1761" ht="30" customHeight="1" x14ac:dyDescent="0.35"/>
    <row r="1762" ht="30" customHeight="1" x14ac:dyDescent="0.35"/>
    <row r="1763" ht="30" customHeight="1" x14ac:dyDescent="0.35"/>
    <row r="1764" ht="30" customHeight="1" x14ac:dyDescent="0.35"/>
    <row r="1765" ht="30" customHeight="1" x14ac:dyDescent="0.35"/>
    <row r="1766" ht="30" customHeight="1" x14ac:dyDescent="0.35"/>
    <row r="1767" ht="30" customHeight="1" x14ac:dyDescent="0.35"/>
    <row r="1768" ht="30" customHeight="1" x14ac:dyDescent="0.35"/>
    <row r="1769" ht="30" customHeight="1" x14ac:dyDescent="0.35"/>
    <row r="1770" ht="30" customHeight="1" x14ac:dyDescent="0.35"/>
    <row r="1771" ht="30" customHeight="1" x14ac:dyDescent="0.35"/>
    <row r="1772" ht="30" customHeight="1" x14ac:dyDescent="0.35"/>
    <row r="1773" ht="30" customHeight="1" x14ac:dyDescent="0.35"/>
    <row r="1774" ht="30" customHeight="1" x14ac:dyDescent="0.35"/>
    <row r="1775" ht="30" customHeight="1" x14ac:dyDescent="0.35"/>
    <row r="1776" ht="30" customHeight="1" x14ac:dyDescent="0.35"/>
    <row r="1777" ht="30" customHeight="1" x14ac:dyDescent="0.35"/>
    <row r="1778" ht="30" customHeight="1" x14ac:dyDescent="0.35"/>
    <row r="1779" ht="30" customHeight="1" x14ac:dyDescent="0.35"/>
    <row r="1780" ht="30" customHeight="1" x14ac:dyDescent="0.35"/>
    <row r="1781" ht="30" customHeight="1" x14ac:dyDescent="0.35"/>
    <row r="1782" ht="30" customHeight="1" x14ac:dyDescent="0.35"/>
    <row r="1783" ht="30" customHeight="1" x14ac:dyDescent="0.35"/>
    <row r="1784" ht="30" customHeight="1" x14ac:dyDescent="0.35"/>
    <row r="1785" ht="30" customHeight="1" x14ac:dyDescent="0.35"/>
    <row r="1786" ht="30" customHeight="1" x14ac:dyDescent="0.35"/>
    <row r="1787" ht="30" customHeight="1" x14ac:dyDescent="0.35"/>
    <row r="1788" ht="30" customHeight="1" x14ac:dyDescent="0.35"/>
    <row r="1789" ht="30" customHeight="1" x14ac:dyDescent="0.35"/>
    <row r="1790" ht="30" customHeight="1" x14ac:dyDescent="0.35"/>
    <row r="1791" ht="30" customHeight="1" x14ac:dyDescent="0.35"/>
    <row r="1792" ht="30" customHeight="1" x14ac:dyDescent="0.35"/>
    <row r="1793" ht="30" customHeight="1" x14ac:dyDescent="0.35"/>
    <row r="1794" ht="30" customHeight="1" x14ac:dyDescent="0.35"/>
    <row r="1795" ht="30" customHeight="1" x14ac:dyDescent="0.35"/>
    <row r="1796" ht="30" customHeight="1" x14ac:dyDescent="0.35"/>
    <row r="1797" ht="30" customHeight="1" x14ac:dyDescent="0.35"/>
    <row r="1798" ht="30" customHeight="1" x14ac:dyDescent="0.35"/>
    <row r="1799" ht="30" customHeight="1" x14ac:dyDescent="0.35"/>
    <row r="1800" ht="30" customHeight="1" x14ac:dyDescent="0.35"/>
    <row r="1801" ht="30" customHeight="1" x14ac:dyDescent="0.35"/>
    <row r="1802" ht="30" customHeight="1" x14ac:dyDescent="0.35"/>
    <row r="1803" ht="30" customHeight="1" x14ac:dyDescent="0.35"/>
    <row r="1804" ht="30" customHeight="1" x14ac:dyDescent="0.35"/>
    <row r="1805" ht="30" customHeight="1" x14ac:dyDescent="0.35"/>
    <row r="1806" ht="30" customHeight="1" x14ac:dyDescent="0.35"/>
    <row r="1807" ht="30" customHeight="1" x14ac:dyDescent="0.35"/>
    <row r="1808" ht="30" customHeight="1" x14ac:dyDescent="0.35"/>
    <row r="1809" ht="30" customHeight="1" x14ac:dyDescent="0.35"/>
    <row r="1810" ht="30" customHeight="1" x14ac:dyDescent="0.35"/>
    <row r="1811" ht="30" customHeight="1" x14ac:dyDescent="0.35"/>
    <row r="1812" ht="30" customHeight="1" x14ac:dyDescent="0.35"/>
    <row r="1813" ht="30" customHeight="1" x14ac:dyDescent="0.35"/>
    <row r="1814" ht="30" customHeight="1" x14ac:dyDescent="0.35"/>
    <row r="1815" ht="30" customHeight="1" x14ac:dyDescent="0.35"/>
    <row r="1816" ht="30" customHeight="1" x14ac:dyDescent="0.35"/>
    <row r="1817" ht="30" customHeight="1" x14ac:dyDescent="0.35"/>
    <row r="1818" ht="30" customHeight="1" x14ac:dyDescent="0.35"/>
    <row r="1819" ht="30" customHeight="1" x14ac:dyDescent="0.35"/>
    <row r="1820" ht="30" customHeight="1" x14ac:dyDescent="0.35"/>
    <row r="1821" ht="30" customHeight="1" x14ac:dyDescent="0.35"/>
    <row r="1822" ht="30" customHeight="1" x14ac:dyDescent="0.35"/>
    <row r="1823" ht="30" customHeight="1" x14ac:dyDescent="0.35"/>
    <row r="1824" ht="30" customHeight="1" x14ac:dyDescent="0.35"/>
    <row r="1825" ht="30" customHeight="1" x14ac:dyDescent="0.35"/>
    <row r="1826" ht="30" customHeight="1" x14ac:dyDescent="0.35"/>
    <row r="1827" ht="30" customHeight="1" x14ac:dyDescent="0.35"/>
    <row r="1828" ht="30" customHeight="1" x14ac:dyDescent="0.35"/>
    <row r="1829" ht="30" customHeight="1" x14ac:dyDescent="0.35"/>
    <row r="1830" ht="30" customHeight="1" x14ac:dyDescent="0.35"/>
    <row r="1831" ht="30" customHeight="1" x14ac:dyDescent="0.35"/>
    <row r="1832" ht="30" customHeight="1" x14ac:dyDescent="0.35"/>
    <row r="1833" ht="30" customHeight="1" x14ac:dyDescent="0.35"/>
    <row r="1834" ht="30" customHeight="1" x14ac:dyDescent="0.35"/>
    <row r="1835" ht="30" customHeight="1" x14ac:dyDescent="0.35"/>
    <row r="1836" ht="30" customHeight="1" x14ac:dyDescent="0.35"/>
    <row r="1837" ht="30" customHeight="1" x14ac:dyDescent="0.35"/>
    <row r="1838" ht="30" customHeight="1" x14ac:dyDescent="0.35"/>
    <row r="1839" ht="30" customHeight="1" x14ac:dyDescent="0.35"/>
    <row r="1840" ht="30" customHeight="1" x14ac:dyDescent="0.35"/>
    <row r="1841" ht="30" customHeight="1" x14ac:dyDescent="0.35"/>
    <row r="1842" ht="30" customHeight="1" x14ac:dyDescent="0.35"/>
    <row r="1843" ht="30" customHeight="1" x14ac:dyDescent="0.35"/>
    <row r="1844" ht="30" customHeight="1" x14ac:dyDescent="0.35"/>
    <row r="1845" ht="30" customHeight="1" x14ac:dyDescent="0.35"/>
    <row r="1846" ht="30" customHeight="1" x14ac:dyDescent="0.35"/>
    <row r="1847" ht="30" customHeight="1" x14ac:dyDescent="0.35"/>
    <row r="1848" ht="30" customHeight="1" x14ac:dyDescent="0.35"/>
    <row r="1849" ht="30" customHeight="1" x14ac:dyDescent="0.35"/>
    <row r="1850" ht="30" customHeight="1" x14ac:dyDescent="0.35"/>
    <row r="1851" ht="30" customHeight="1" x14ac:dyDescent="0.35"/>
    <row r="1852" ht="30" customHeight="1" x14ac:dyDescent="0.35"/>
    <row r="1853" ht="30" customHeight="1" x14ac:dyDescent="0.35"/>
    <row r="1854" ht="30" customHeight="1" x14ac:dyDescent="0.35"/>
    <row r="1855" ht="30" customHeight="1" x14ac:dyDescent="0.35"/>
    <row r="1856" ht="30" customHeight="1" x14ac:dyDescent="0.35"/>
    <row r="1857" ht="30" customHeight="1" x14ac:dyDescent="0.35"/>
    <row r="1858" ht="30" customHeight="1" x14ac:dyDescent="0.35"/>
    <row r="1859" ht="30" customHeight="1" x14ac:dyDescent="0.35"/>
    <row r="1860" ht="30" customHeight="1" x14ac:dyDescent="0.35"/>
    <row r="1861" ht="30" customHeight="1" x14ac:dyDescent="0.35"/>
    <row r="1862" ht="30" customHeight="1" x14ac:dyDescent="0.35"/>
    <row r="1863" ht="30" customHeight="1" x14ac:dyDescent="0.35"/>
    <row r="1864" ht="30" customHeight="1" x14ac:dyDescent="0.35"/>
    <row r="1865" ht="30" customHeight="1" x14ac:dyDescent="0.35"/>
    <row r="1866" ht="30" customHeight="1" x14ac:dyDescent="0.35"/>
    <row r="1867" ht="30" customHeight="1" x14ac:dyDescent="0.35"/>
    <row r="1868" ht="30" customHeight="1" x14ac:dyDescent="0.35"/>
    <row r="1869" ht="30" customHeight="1" x14ac:dyDescent="0.35"/>
    <row r="1870" ht="30" customHeight="1" x14ac:dyDescent="0.35"/>
    <row r="1871" ht="30" customHeight="1" x14ac:dyDescent="0.35"/>
    <row r="1872" ht="30" customHeight="1" x14ac:dyDescent="0.35"/>
    <row r="1873" ht="30" customHeight="1" x14ac:dyDescent="0.35"/>
    <row r="1874" ht="30" customHeight="1" x14ac:dyDescent="0.35"/>
    <row r="1875" ht="30" customHeight="1" x14ac:dyDescent="0.35"/>
    <row r="1876" ht="30" customHeight="1" x14ac:dyDescent="0.35"/>
    <row r="1877" ht="30" customHeight="1" x14ac:dyDescent="0.35"/>
    <row r="1878" ht="30" customHeight="1" x14ac:dyDescent="0.35"/>
    <row r="1879" ht="30" customHeight="1" x14ac:dyDescent="0.35"/>
    <row r="1880" ht="30" customHeight="1" x14ac:dyDescent="0.35"/>
    <row r="1881" ht="30" customHeight="1" x14ac:dyDescent="0.35"/>
    <row r="1882" ht="30" customHeight="1" x14ac:dyDescent="0.35"/>
    <row r="1883" ht="30" customHeight="1" x14ac:dyDescent="0.35"/>
    <row r="1884" ht="30" customHeight="1" x14ac:dyDescent="0.35"/>
    <row r="1885" ht="30" customHeight="1" x14ac:dyDescent="0.35"/>
    <row r="1886" ht="30" customHeight="1" x14ac:dyDescent="0.35"/>
    <row r="1887" ht="30" customHeight="1" x14ac:dyDescent="0.35"/>
    <row r="1888" ht="30" customHeight="1" x14ac:dyDescent="0.35"/>
    <row r="1889" ht="30" customHeight="1" x14ac:dyDescent="0.35"/>
    <row r="1890" ht="30" customHeight="1" x14ac:dyDescent="0.35"/>
    <row r="1891" ht="30" customHeight="1" x14ac:dyDescent="0.35"/>
    <row r="1892" ht="30" customHeight="1" x14ac:dyDescent="0.35"/>
    <row r="1893" ht="30" customHeight="1" x14ac:dyDescent="0.35"/>
    <row r="1894" ht="30" customHeight="1" x14ac:dyDescent="0.35"/>
    <row r="1895" ht="30" customHeight="1" x14ac:dyDescent="0.35"/>
    <row r="1896" ht="30" customHeight="1" x14ac:dyDescent="0.35"/>
    <row r="1897" ht="30" customHeight="1" x14ac:dyDescent="0.35"/>
    <row r="1898" ht="30" customHeight="1" x14ac:dyDescent="0.35"/>
    <row r="1899" ht="30" customHeight="1" x14ac:dyDescent="0.35"/>
    <row r="1900" ht="30" customHeight="1" x14ac:dyDescent="0.35"/>
    <row r="1901" ht="30" customHeight="1" x14ac:dyDescent="0.35"/>
    <row r="1902" ht="30" customHeight="1" x14ac:dyDescent="0.35"/>
    <row r="1903" ht="30" customHeight="1" x14ac:dyDescent="0.35"/>
    <row r="1904" ht="30" customHeight="1" x14ac:dyDescent="0.35"/>
    <row r="1905" ht="30" customHeight="1" x14ac:dyDescent="0.35"/>
    <row r="1906" ht="30" customHeight="1" x14ac:dyDescent="0.35"/>
    <row r="1907" ht="30" customHeight="1" x14ac:dyDescent="0.35"/>
    <row r="1908" ht="30" customHeight="1" x14ac:dyDescent="0.35"/>
    <row r="1909" ht="30" customHeight="1" x14ac:dyDescent="0.35"/>
    <row r="1910" ht="30" customHeight="1" x14ac:dyDescent="0.35"/>
    <row r="1911" ht="30" customHeight="1" x14ac:dyDescent="0.35"/>
    <row r="1912" ht="30" customHeight="1" x14ac:dyDescent="0.35"/>
    <row r="1913" ht="30" customHeight="1" x14ac:dyDescent="0.35"/>
    <row r="1914" ht="30" customHeight="1" x14ac:dyDescent="0.35"/>
    <row r="1915" ht="30" customHeight="1" x14ac:dyDescent="0.35"/>
    <row r="1916" ht="30" customHeight="1" x14ac:dyDescent="0.35"/>
    <row r="1917" ht="30" customHeight="1" x14ac:dyDescent="0.35"/>
    <row r="1918" ht="30" customHeight="1" x14ac:dyDescent="0.35"/>
    <row r="1919" ht="30" customHeight="1" x14ac:dyDescent="0.35"/>
    <row r="1920" ht="30" customHeight="1" x14ac:dyDescent="0.35"/>
    <row r="1921" ht="30" customHeight="1" x14ac:dyDescent="0.35"/>
    <row r="1922" ht="30" customHeight="1" x14ac:dyDescent="0.35"/>
    <row r="1923" ht="30" customHeight="1" x14ac:dyDescent="0.35"/>
    <row r="1924" ht="30" customHeight="1" x14ac:dyDescent="0.35"/>
    <row r="1925" ht="30" customHeight="1" x14ac:dyDescent="0.35"/>
    <row r="1926" ht="30" customHeight="1" x14ac:dyDescent="0.35"/>
    <row r="1927" ht="30" customHeight="1" x14ac:dyDescent="0.35"/>
    <row r="1928" ht="30" customHeight="1" x14ac:dyDescent="0.35"/>
    <row r="1929" ht="30" customHeight="1" x14ac:dyDescent="0.35"/>
    <row r="1930" ht="30" customHeight="1" x14ac:dyDescent="0.35"/>
    <row r="1931" ht="30" customHeight="1" x14ac:dyDescent="0.35"/>
    <row r="1932" ht="30" customHeight="1" x14ac:dyDescent="0.35"/>
    <row r="1933" ht="30" customHeight="1" x14ac:dyDescent="0.35"/>
    <row r="1934" ht="30" customHeight="1" x14ac:dyDescent="0.35"/>
    <row r="1935" ht="30" customHeight="1" x14ac:dyDescent="0.35"/>
    <row r="1936" ht="30" customHeight="1" x14ac:dyDescent="0.35"/>
    <row r="1937" ht="30" customHeight="1" x14ac:dyDescent="0.35"/>
    <row r="1938" ht="30" customHeight="1" x14ac:dyDescent="0.35"/>
    <row r="1939" ht="30" customHeight="1" x14ac:dyDescent="0.35"/>
    <row r="1940" ht="30" customHeight="1" x14ac:dyDescent="0.35"/>
    <row r="1941" ht="30" customHeight="1" x14ac:dyDescent="0.35"/>
    <row r="1942" ht="30" customHeight="1" x14ac:dyDescent="0.35"/>
    <row r="1943" ht="30" customHeight="1" x14ac:dyDescent="0.35"/>
    <row r="1944" ht="30" customHeight="1" x14ac:dyDescent="0.35"/>
    <row r="1945" ht="30" customHeight="1" x14ac:dyDescent="0.35"/>
    <row r="1946" ht="30" customHeight="1" x14ac:dyDescent="0.35"/>
    <row r="1947" ht="30" customHeight="1" x14ac:dyDescent="0.35"/>
    <row r="1948" ht="30" customHeight="1" x14ac:dyDescent="0.35"/>
    <row r="1949" ht="30" customHeight="1" x14ac:dyDescent="0.35"/>
    <row r="1950" ht="30" customHeight="1" x14ac:dyDescent="0.35"/>
    <row r="1951" ht="30" customHeight="1" x14ac:dyDescent="0.35"/>
    <row r="1952" ht="30" customHeight="1" x14ac:dyDescent="0.35"/>
    <row r="1953" ht="30" customHeight="1" x14ac:dyDescent="0.35"/>
    <row r="1954" ht="30" customHeight="1" x14ac:dyDescent="0.35"/>
    <row r="1955" ht="30" customHeight="1" x14ac:dyDescent="0.35"/>
    <row r="1956" ht="30" customHeight="1" x14ac:dyDescent="0.35"/>
    <row r="1957" ht="30" customHeight="1" x14ac:dyDescent="0.35"/>
    <row r="1958" ht="30" customHeight="1" x14ac:dyDescent="0.35"/>
    <row r="1959" ht="30" customHeight="1" x14ac:dyDescent="0.35"/>
    <row r="1960" ht="30" customHeight="1" x14ac:dyDescent="0.35"/>
    <row r="1961" ht="30" customHeight="1" x14ac:dyDescent="0.35"/>
    <row r="1962" ht="30" customHeight="1" x14ac:dyDescent="0.35"/>
    <row r="1963" ht="30" customHeight="1" x14ac:dyDescent="0.35"/>
    <row r="1964" ht="30" customHeight="1" x14ac:dyDescent="0.35"/>
    <row r="1965" ht="30" customHeight="1" x14ac:dyDescent="0.35"/>
    <row r="1966" ht="30" customHeight="1" x14ac:dyDescent="0.35"/>
    <row r="1967" ht="30" customHeight="1" x14ac:dyDescent="0.35"/>
    <row r="1968" ht="30" customHeight="1" x14ac:dyDescent="0.35"/>
    <row r="1969" ht="30" customHeight="1" x14ac:dyDescent="0.35"/>
    <row r="1970" ht="30" customHeight="1" x14ac:dyDescent="0.35"/>
    <row r="1971" ht="30" customHeight="1" x14ac:dyDescent="0.35"/>
    <row r="1972" ht="30" customHeight="1" x14ac:dyDescent="0.35"/>
    <row r="1973" ht="30" customHeight="1" x14ac:dyDescent="0.35"/>
    <row r="1974" ht="30" customHeight="1" x14ac:dyDescent="0.35"/>
    <row r="1975" ht="30" customHeight="1" x14ac:dyDescent="0.35"/>
    <row r="1976" ht="30" customHeight="1" x14ac:dyDescent="0.35"/>
    <row r="1977" ht="30" customHeight="1" x14ac:dyDescent="0.35"/>
    <row r="1978" ht="30" customHeight="1" x14ac:dyDescent="0.35"/>
    <row r="1979" ht="30" customHeight="1" x14ac:dyDescent="0.35"/>
    <row r="1980" ht="30" customHeight="1" x14ac:dyDescent="0.35"/>
    <row r="1981" ht="30" customHeight="1" x14ac:dyDescent="0.35"/>
    <row r="1982" ht="30" customHeight="1" x14ac:dyDescent="0.35"/>
    <row r="1983" ht="30" customHeight="1" x14ac:dyDescent="0.35"/>
    <row r="1984" ht="30" customHeight="1" x14ac:dyDescent="0.35"/>
    <row r="1985" ht="30" customHeight="1" x14ac:dyDescent="0.35"/>
    <row r="1986" ht="30" customHeight="1" x14ac:dyDescent="0.35"/>
    <row r="1987" ht="30" customHeight="1" x14ac:dyDescent="0.35"/>
    <row r="1988" ht="30" customHeight="1" x14ac:dyDescent="0.35"/>
    <row r="1989" ht="30" customHeight="1" x14ac:dyDescent="0.35"/>
    <row r="1990" ht="30" customHeight="1" x14ac:dyDescent="0.35"/>
    <row r="1991" ht="30" customHeight="1" x14ac:dyDescent="0.35"/>
    <row r="1992" ht="30" customHeight="1" x14ac:dyDescent="0.35"/>
    <row r="1993" ht="30" customHeight="1" x14ac:dyDescent="0.35"/>
    <row r="1994" ht="30" customHeight="1" x14ac:dyDescent="0.35"/>
    <row r="1995" ht="30" customHeight="1" x14ac:dyDescent="0.35"/>
    <row r="1996" ht="30" customHeight="1" x14ac:dyDescent="0.35"/>
    <row r="1997" ht="30" customHeight="1" x14ac:dyDescent="0.35"/>
    <row r="1998" ht="30" customHeight="1" x14ac:dyDescent="0.35"/>
    <row r="1999" ht="30" customHeight="1" x14ac:dyDescent="0.35"/>
    <row r="2000" ht="30" customHeight="1" x14ac:dyDescent="0.35"/>
    <row r="2001" ht="30" customHeight="1" x14ac:dyDescent="0.35"/>
    <row r="2002" ht="30" customHeight="1" x14ac:dyDescent="0.35"/>
    <row r="2003" ht="30" customHeight="1" x14ac:dyDescent="0.35"/>
    <row r="2004" ht="30" customHeight="1" x14ac:dyDescent="0.35"/>
    <row r="2005" ht="30" customHeight="1" x14ac:dyDescent="0.35"/>
    <row r="2006" ht="30" customHeight="1" x14ac:dyDescent="0.35"/>
    <row r="2007" ht="30" customHeight="1" x14ac:dyDescent="0.35"/>
    <row r="2008" ht="30" customHeight="1" x14ac:dyDescent="0.35"/>
    <row r="2009" ht="30" customHeight="1" x14ac:dyDescent="0.35"/>
    <row r="2010" ht="30" customHeight="1" x14ac:dyDescent="0.35"/>
    <row r="2011" ht="30" customHeight="1" x14ac:dyDescent="0.35"/>
    <row r="2012" ht="30" customHeight="1" x14ac:dyDescent="0.35"/>
    <row r="2013" ht="30" customHeight="1" x14ac:dyDescent="0.35"/>
    <row r="2014" ht="30" customHeight="1" x14ac:dyDescent="0.35"/>
    <row r="2015" ht="30" customHeight="1" x14ac:dyDescent="0.35"/>
    <row r="2016" ht="30" customHeight="1" x14ac:dyDescent="0.35"/>
    <row r="2017" ht="30" customHeight="1" x14ac:dyDescent="0.35"/>
    <row r="2018" ht="30" customHeight="1" x14ac:dyDescent="0.35"/>
    <row r="2019" ht="30" customHeight="1" x14ac:dyDescent="0.35"/>
    <row r="2020" ht="30" customHeight="1" x14ac:dyDescent="0.35"/>
    <row r="2021" ht="30" customHeight="1" x14ac:dyDescent="0.35"/>
    <row r="2022" ht="30" customHeight="1" x14ac:dyDescent="0.35"/>
    <row r="2023" ht="30" customHeight="1" x14ac:dyDescent="0.35"/>
    <row r="2024" ht="30" customHeight="1" x14ac:dyDescent="0.35"/>
    <row r="2025" ht="30" customHeight="1" x14ac:dyDescent="0.35"/>
    <row r="2026" ht="30" customHeight="1" x14ac:dyDescent="0.35"/>
    <row r="2027" ht="30" customHeight="1" x14ac:dyDescent="0.35"/>
    <row r="2028" ht="30" customHeight="1" x14ac:dyDescent="0.35"/>
    <row r="2029" ht="30" customHeight="1" x14ac:dyDescent="0.35"/>
    <row r="2030" ht="30" customHeight="1" x14ac:dyDescent="0.35"/>
    <row r="2031" ht="30" customHeight="1" x14ac:dyDescent="0.35"/>
    <row r="2032" ht="30" customHeight="1" x14ac:dyDescent="0.35"/>
    <row r="2033" ht="30" customHeight="1" x14ac:dyDescent="0.35"/>
    <row r="2034" ht="30" customHeight="1" x14ac:dyDescent="0.35"/>
    <row r="2035" ht="30" customHeight="1" x14ac:dyDescent="0.35"/>
    <row r="2036" ht="30" customHeight="1" x14ac:dyDescent="0.35"/>
    <row r="2037" ht="30" customHeight="1" x14ac:dyDescent="0.35"/>
    <row r="2038" ht="30" customHeight="1" x14ac:dyDescent="0.35"/>
    <row r="2039" ht="30" customHeight="1" x14ac:dyDescent="0.35"/>
    <row r="2040" ht="30" customHeight="1" x14ac:dyDescent="0.35"/>
    <row r="2041" ht="30" customHeight="1" x14ac:dyDescent="0.35"/>
    <row r="2042" ht="30" customHeight="1" x14ac:dyDescent="0.35"/>
    <row r="2043" ht="30" customHeight="1" x14ac:dyDescent="0.35"/>
    <row r="2044" ht="30" customHeight="1" x14ac:dyDescent="0.35"/>
    <row r="2045" ht="30" customHeight="1" x14ac:dyDescent="0.35"/>
    <row r="2046" ht="30" customHeight="1" x14ac:dyDescent="0.35"/>
    <row r="2047" ht="30" customHeight="1" x14ac:dyDescent="0.35"/>
    <row r="2048" ht="30" customHeight="1" x14ac:dyDescent="0.35"/>
    <row r="2049" ht="30" customHeight="1" x14ac:dyDescent="0.35"/>
    <row r="2050" ht="30" customHeight="1" x14ac:dyDescent="0.35"/>
    <row r="2051" ht="30" customHeight="1" x14ac:dyDescent="0.35"/>
    <row r="2052" ht="30" customHeight="1" x14ac:dyDescent="0.35"/>
    <row r="2053" ht="30" customHeight="1" x14ac:dyDescent="0.35"/>
    <row r="2054" ht="30" customHeight="1" x14ac:dyDescent="0.35"/>
    <row r="2055" ht="30" customHeight="1" x14ac:dyDescent="0.35"/>
    <row r="2056" ht="30" customHeight="1" x14ac:dyDescent="0.35"/>
    <row r="2057" ht="30" customHeight="1" x14ac:dyDescent="0.35"/>
    <row r="2058" ht="30" customHeight="1" x14ac:dyDescent="0.35"/>
    <row r="2059" ht="30" customHeight="1" x14ac:dyDescent="0.35"/>
    <row r="2060" ht="30" customHeight="1" x14ac:dyDescent="0.35"/>
    <row r="2061" ht="30" customHeight="1" x14ac:dyDescent="0.35"/>
    <row r="2062" ht="30" customHeight="1" x14ac:dyDescent="0.35"/>
    <row r="2063" ht="30" customHeight="1" x14ac:dyDescent="0.35"/>
    <row r="2064" ht="30" customHeight="1" x14ac:dyDescent="0.35"/>
    <row r="2065" ht="30" customHeight="1" x14ac:dyDescent="0.35"/>
    <row r="2066" ht="30" customHeight="1" x14ac:dyDescent="0.35"/>
    <row r="2067" ht="30" customHeight="1" x14ac:dyDescent="0.35"/>
    <row r="2068" ht="30" customHeight="1" x14ac:dyDescent="0.35"/>
    <row r="2069" ht="30" customHeight="1" x14ac:dyDescent="0.35"/>
    <row r="2070" ht="30" customHeight="1" x14ac:dyDescent="0.35"/>
    <row r="2071" ht="30" customHeight="1" x14ac:dyDescent="0.35"/>
    <row r="2072" ht="30" customHeight="1" x14ac:dyDescent="0.35"/>
    <row r="2073" ht="30" customHeight="1" x14ac:dyDescent="0.35"/>
    <row r="2074" ht="30" customHeight="1" x14ac:dyDescent="0.35"/>
    <row r="2075" ht="30" customHeight="1" x14ac:dyDescent="0.35"/>
    <row r="2076" ht="30" customHeight="1" x14ac:dyDescent="0.35"/>
    <row r="2077" ht="30" customHeight="1" x14ac:dyDescent="0.35"/>
    <row r="2078" ht="30" customHeight="1" x14ac:dyDescent="0.35"/>
    <row r="2079" ht="30" customHeight="1" x14ac:dyDescent="0.35"/>
    <row r="2080" ht="30" customHeight="1" x14ac:dyDescent="0.35"/>
    <row r="2081" ht="30" customHeight="1" x14ac:dyDescent="0.35"/>
    <row r="2082" ht="30" customHeight="1" x14ac:dyDescent="0.35"/>
    <row r="2083" ht="30" customHeight="1" x14ac:dyDescent="0.35"/>
    <row r="2084" ht="30" customHeight="1" x14ac:dyDescent="0.35"/>
    <row r="2085" ht="30" customHeight="1" x14ac:dyDescent="0.35"/>
    <row r="2086" ht="30" customHeight="1" x14ac:dyDescent="0.35"/>
    <row r="2087" ht="30" customHeight="1" x14ac:dyDescent="0.35"/>
    <row r="2088" ht="30" customHeight="1" x14ac:dyDescent="0.35"/>
    <row r="2089" ht="30" customHeight="1" x14ac:dyDescent="0.35"/>
    <row r="2090" ht="30" customHeight="1" x14ac:dyDescent="0.35"/>
    <row r="2091" ht="30" customHeight="1" x14ac:dyDescent="0.35"/>
    <row r="2092" ht="30" customHeight="1" x14ac:dyDescent="0.35"/>
    <row r="2093" ht="30" customHeight="1" x14ac:dyDescent="0.35"/>
    <row r="2094" ht="30" customHeight="1" x14ac:dyDescent="0.35"/>
    <row r="2095" ht="30" customHeight="1" x14ac:dyDescent="0.35"/>
    <row r="2096" ht="30" customHeight="1" x14ac:dyDescent="0.35"/>
    <row r="2097" ht="30" customHeight="1" x14ac:dyDescent="0.35"/>
    <row r="2098" ht="30" customHeight="1" x14ac:dyDescent="0.35"/>
    <row r="2099" ht="30" customHeight="1" x14ac:dyDescent="0.35"/>
    <row r="2100" ht="30" customHeight="1" x14ac:dyDescent="0.35"/>
    <row r="2101" ht="30" customHeight="1" x14ac:dyDescent="0.35"/>
    <row r="2102" ht="30" customHeight="1" x14ac:dyDescent="0.35"/>
    <row r="2103" ht="30" customHeight="1" x14ac:dyDescent="0.35"/>
    <row r="2104" ht="30" customHeight="1" x14ac:dyDescent="0.35"/>
    <row r="2105" ht="30" customHeight="1" x14ac:dyDescent="0.35"/>
    <row r="2106" ht="30" customHeight="1" x14ac:dyDescent="0.35"/>
    <row r="2107" ht="30" customHeight="1" x14ac:dyDescent="0.35"/>
    <row r="2108" ht="30" customHeight="1" x14ac:dyDescent="0.35"/>
    <row r="2109" ht="30" customHeight="1" x14ac:dyDescent="0.35"/>
    <row r="2110" ht="30" customHeight="1" x14ac:dyDescent="0.35"/>
    <row r="2111" ht="30" customHeight="1" x14ac:dyDescent="0.35"/>
    <row r="2112" ht="30" customHeight="1" x14ac:dyDescent="0.35"/>
    <row r="2113" ht="30" customHeight="1" x14ac:dyDescent="0.35"/>
    <row r="2114" ht="30" customHeight="1" x14ac:dyDescent="0.35"/>
    <row r="2115" ht="30" customHeight="1" x14ac:dyDescent="0.35"/>
    <row r="2116" ht="30" customHeight="1" x14ac:dyDescent="0.35"/>
    <row r="2117" ht="30" customHeight="1" x14ac:dyDescent="0.35"/>
    <row r="2118" ht="30" customHeight="1" x14ac:dyDescent="0.35"/>
    <row r="2119" ht="30" customHeight="1" x14ac:dyDescent="0.35"/>
    <row r="2120" ht="30" customHeight="1" x14ac:dyDescent="0.35"/>
    <row r="2121" ht="30" customHeight="1" x14ac:dyDescent="0.35"/>
    <row r="2122" ht="30" customHeight="1" x14ac:dyDescent="0.35"/>
    <row r="2123" ht="30" customHeight="1" x14ac:dyDescent="0.35"/>
    <row r="2124" ht="30" customHeight="1" x14ac:dyDescent="0.35"/>
    <row r="2125" ht="30" customHeight="1" x14ac:dyDescent="0.35"/>
    <row r="2126" ht="30" customHeight="1" x14ac:dyDescent="0.35"/>
    <row r="2127" ht="30" customHeight="1" x14ac:dyDescent="0.35"/>
    <row r="2128" ht="30" customHeight="1" x14ac:dyDescent="0.35"/>
    <row r="2129" ht="30" customHeight="1" x14ac:dyDescent="0.35"/>
    <row r="2130" ht="30" customHeight="1" x14ac:dyDescent="0.35"/>
    <row r="2131" ht="30" customHeight="1" x14ac:dyDescent="0.35"/>
    <row r="2132" ht="30" customHeight="1" x14ac:dyDescent="0.35"/>
    <row r="2133" ht="30" customHeight="1" x14ac:dyDescent="0.35"/>
    <row r="2134" ht="30" customHeight="1" x14ac:dyDescent="0.35"/>
    <row r="2135" ht="30" customHeight="1" x14ac:dyDescent="0.35"/>
    <row r="2136" ht="30" customHeight="1" x14ac:dyDescent="0.35"/>
    <row r="2137" ht="30" customHeight="1" x14ac:dyDescent="0.35"/>
    <row r="2138" ht="30" customHeight="1" x14ac:dyDescent="0.35"/>
    <row r="2139" ht="30" customHeight="1" x14ac:dyDescent="0.35"/>
    <row r="2140" ht="30" customHeight="1" x14ac:dyDescent="0.35"/>
    <row r="2141" ht="30" customHeight="1" x14ac:dyDescent="0.35"/>
    <row r="2142" ht="30" customHeight="1" x14ac:dyDescent="0.35"/>
    <row r="2143" ht="30" customHeight="1" x14ac:dyDescent="0.35"/>
    <row r="2144" ht="30" customHeight="1" x14ac:dyDescent="0.35"/>
    <row r="2145" ht="30" customHeight="1" x14ac:dyDescent="0.35"/>
    <row r="2146" ht="30" customHeight="1" x14ac:dyDescent="0.35"/>
    <row r="2147" ht="30" customHeight="1" x14ac:dyDescent="0.35"/>
    <row r="2148" ht="30" customHeight="1" x14ac:dyDescent="0.35"/>
    <row r="2149" ht="30" customHeight="1" x14ac:dyDescent="0.35"/>
    <row r="2150" ht="30" customHeight="1" x14ac:dyDescent="0.35"/>
    <row r="2151" ht="30" customHeight="1" x14ac:dyDescent="0.35"/>
    <row r="2152" ht="30" customHeight="1" x14ac:dyDescent="0.35"/>
    <row r="2153" ht="30" customHeight="1" x14ac:dyDescent="0.35"/>
    <row r="2154" ht="30" customHeight="1" x14ac:dyDescent="0.35"/>
    <row r="2155" ht="30" customHeight="1" x14ac:dyDescent="0.35"/>
    <row r="2156" ht="30" customHeight="1" x14ac:dyDescent="0.35"/>
    <row r="2157" ht="30" customHeight="1" x14ac:dyDescent="0.35"/>
    <row r="2158" ht="30" customHeight="1" x14ac:dyDescent="0.35"/>
    <row r="2159" ht="30" customHeight="1" x14ac:dyDescent="0.35"/>
    <row r="2160" ht="30" customHeight="1" x14ac:dyDescent="0.35"/>
    <row r="2161" ht="30" customHeight="1" x14ac:dyDescent="0.35"/>
    <row r="2162" ht="30" customHeight="1" x14ac:dyDescent="0.35"/>
    <row r="2163" ht="30" customHeight="1" x14ac:dyDescent="0.35"/>
    <row r="2164" ht="30" customHeight="1" x14ac:dyDescent="0.35"/>
    <row r="2165" ht="30" customHeight="1" x14ac:dyDescent="0.35"/>
    <row r="2166" ht="30" customHeight="1" x14ac:dyDescent="0.35"/>
    <row r="2167" ht="30" customHeight="1" x14ac:dyDescent="0.35"/>
    <row r="2168" ht="30" customHeight="1" x14ac:dyDescent="0.35"/>
    <row r="2169" ht="30" customHeight="1" x14ac:dyDescent="0.35"/>
    <row r="2170" ht="30" customHeight="1" x14ac:dyDescent="0.35"/>
    <row r="2171" ht="30" customHeight="1" x14ac:dyDescent="0.35"/>
    <row r="2172" ht="30" customHeight="1" x14ac:dyDescent="0.35"/>
    <row r="2173" ht="30" customHeight="1" x14ac:dyDescent="0.35"/>
    <row r="2174" ht="30" customHeight="1" x14ac:dyDescent="0.35"/>
    <row r="2175" ht="30" customHeight="1" x14ac:dyDescent="0.35"/>
    <row r="2176" ht="30" customHeight="1" x14ac:dyDescent="0.35"/>
    <row r="2177" ht="30" customHeight="1" x14ac:dyDescent="0.35"/>
    <row r="2178" ht="30" customHeight="1" x14ac:dyDescent="0.35"/>
    <row r="2179" ht="30" customHeight="1" x14ac:dyDescent="0.35"/>
    <row r="2180" ht="30" customHeight="1" x14ac:dyDescent="0.35"/>
    <row r="2181" ht="30" customHeight="1" x14ac:dyDescent="0.35"/>
    <row r="2182" ht="30" customHeight="1" x14ac:dyDescent="0.35"/>
    <row r="2183" ht="30" customHeight="1" x14ac:dyDescent="0.35"/>
    <row r="2184" ht="30" customHeight="1" x14ac:dyDescent="0.35"/>
    <row r="2185" ht="30" customHeight="1" x14ac:dyDescent="0.35"/>
    <row r="2186" ht="30" customHeight="1" x14ac:dyDescent="0.35"/>
    <row r="2187" ht="30" customHeight="1" x14ac:dyDescent="0.35"/>
    <row r="2188" ht="30" customHeight="1" x14ac:dyDescent="0.35"/>
    <row r="2189" ht="30" customHeight="1" x14ac:dyDescent="0.35"/>
    <row r="2190" ht="30" customHeight="1" x14ac:dyDescent="0.35"/>
    <row r="2191" ht="30" customHeight="1" x14ac:dyDescent="0.35"/>
    <row r="2192" ht="30" customHeight="1" x14ac:dyDescent="0.35"/>
    <row r="2193" ht="30" customHeight="1" x14ac:dyDescent="0.35"/>
    <row r="2194" ht="30" customHeight="1" x14ac:dyDescent="0.35"/>
    <row r="2195" ht="30" customHeight="1" x14ac:dyDescent="0.35"/>
    <row r="2196" ht="30" customHeight="1" x14ac:dyDescent="0.35"/>
    <row r="2197" ht="30" customHeight="1" x14ac:dyDescent="0.35"/>
    <row r="2198" ht="30" customHeight="1" x14ac:dyDescent="0.35"/>
    <row r="2199" ht="30" customHeight="1" x14ac:dyDescent="0.35"/>
    <row r="2200" ht="30" customHeight="1" x14ac:dyDescent="0.35"/>
    <row r="2201" ht="30" customHeight="1" x14ac:dyDescent="0.35"/>
    <row r="2202" ht="30" customHeight="1" x14ac:dyDescent="0.35"/>
    <row r="2203" ht="30" customHeight="1" x14ac:dyDescent="0.35"/>
    <row r="2204" ht="30" customHeight="1" x14ac:dyDescent="0.35"/>
    <row r="2205" ht="30" customHeight="1" x14ac:dyDescent="0.35"/>
    <row r="2206" ht="30" customHeight="1" x14ac:dyDescent="0.35"/>
    <row r="2207" ht="30" customHeight="1" x14ac:dyDescent="0.35"/>
    <row r="2208" ht="30" customHeight="1" x14ac:dyDescent="0.35"/>
    <row r="2209" ht="30" customHeight="1" x14ac:dyDescent="0.35"/>
    <row r="2210" ht="30" customHeight="1" x14ac:dyDescent="0.35"/>
    <row r="2211" ht="30" customHeight="1" x14ac:dyDescent="0.35"/>
    <row r="2212" ht="30" customHeight="1" x14ac:dyDescent="0.35"/>
    <row r="2213" ht="30" customHeight="1" x14ac:dyDescent="0.35"/>
    <row r="2214" ht="30" customHeight="1" x14ac:dyDescent="0.35"/>
    <row r="2215" ht="30" customHeight="1" x14ac:dyDescent="0.35"/>
    <row r="2216" ht="30" customHeight="1" x14ac:dyDescent="0.35"/>
    <row r="2217" ht="30" customHeight="1" x14ac:dyDescent="0.35"/>
    <row r="2218" ht="30" customHeight="1" x14ac:dyDescent="0.35"/>
    <row r="2219" ht="30" customHeight="1" x14ac:dyDescent="0.35"/>
    <row r="2220" ht="30" customHeight="1" x14ac:dyDescent="0.35"/>
    <row r="2221" ht="30" customHeight="1" x14ac:dyDescent="0.35"/>
    <row r="2222" ht="30" customHeight="1" x14ac:dyDescent="0.35"/>
    <row r="2223" ht="30" customHeight="1" x14ac:dyDescent="0.35"/>
    <row r="2224" ht="30" customHeight="1" x14ac:dyDescent="0.35"/>
    <row r="2225" ht="30" customHeight="1" x14ac:dyDescent="0.35"/>
    <row r="2226" ht="30" customHeight="1" x14ac:dyDescent="0.35"/>
    <row r="2227" ht="30" customHeight="1" x14ac:dyDescent="0.35"/>
    <row r="2228" ht="30" customHeight="1" x14ac:dyDescent="0.35"/>
    <row r="2229" ht="30" customHeight="1" x14ac:dyDescent="0.35"/>
    <row r="2230" ht="30" customHeight="1" x14ac:dyDescent="0.35"/>
    <row r="2231" ht="30" customHeight="1" x14ac:dyDescent="0.35"/>
    <row r="2232" ht="30" customHeight="1" x14ac:dyDescent="0.35"/>
    <row r="2233" ht="30" customHeight="1" x14ac:dyDescent="0.35"/>
    <row r="2234" ht="30" customHeight="1" x14ac:dyDescent="0.35"/>
    <row r="2235" ht="30" customHeight="1" x14ac:dyDescent="0.35"/>
    <row r="2236" ht="30" customHeight="1" x14ac:dyDescent="0.35"/>
    <row r="2237" ht="30" customHeight="1" x14ac:dyDescent="0.35"/>
    <row r="2238" ht="30" customHeight="1" x14ac:dyDescent="0.35"/>
    <row r="2239" ht="30" customHeight="1" x14ac:dyDescent="0.35"/>
    <row r="2240" ht="30" customHeight="1" x14ac:dyDescent="0.35"/>
    <row r="2241" ht="30" customHeight="1" x14ac:dyDescent="0.35"/>
    <row r="2242" ht="30" customHeight="1" x14ac:dyDescent="0.35"/>
    <row r="2243" ht="30" customHeight="1" x14ac:dyDescent="0.35"/>
    <row r="2244" ht="30" customHeight="1" x14ac:dyDescent="0.35"/>
    <row r="2245" ht="30" customHeight="1" x14ac:dyDescent="0.35"/>
    <row r="2246" ht="30" customHeight="1" x14ac:dyDescent="0.35"/>
    <row r="2247" ht="30" customHeight="1" x14ac:dyDescent="0.35"/>
    <row r="2248" ht="30" customHeight="1" x14ac:dyDescent="0.35"/>
    <row r="2249" ht="30" customHeight="1" x14ac:dyDescent="0.35"/>
    <row r="2250" ht="30" customHeight="1" x14ac:dyDescent="0.35"/>
    <row r="2251" ht="30" customHeight="1" x14ac:dyDescent="0.35"/>
    <row r="2252" ht="30" customHeight="1" x14ac:dyDescent="0.35"/>
    <row r="2253" ht="30" customHeight="1" x14ac:dyDescent="0.35"/>
    <row r="2254" ht="30" customHeight="1" x14ac:dyDescent="0.35"/>
    <row r="2255" ht="30" customHeight="1" x14ac:dyDescent="0.35"/>
    <row r="2256" ht="30" customHeight="1" x14ac:dyDescent="0.35"/>
    <row r="2257" ht="30" customHeight="1" x14ac:dyDescent="0.35"/>
    <row r="2258" ht="30" customHeight="1" x14ac:dyDescent="0.35"/>
    <row r="2259" ht="30" customHeight="1" x14ac:dyDescent="0.35"/>
    <row r="2260" ht="30" customHeight="1" x14ac:dyDescent="0.35"/>
    <row r="2261" ht="30" customHeight="1" x14ac:dyDescent="0.35"/>
    <row r="2262" ht="30" customHeight="1" x14ac:dyDescent="0.35"/>
    <row r="2263" ht="30" customHeight="1" x14ac:dyDescent="0.35"/>
    <row r="2264" ht="30" customHeight="1" x14ac:dyDescent="0.35"/>
    <row r="2265" ht="30" customHeight="1" x14ac:dyDescent="0.35"/>
    <row r="2266" ht="30" customHeight="1" x14ac:dyDescent="0.35"/>
    <row r="2267" ht="30" customHeight="1" x14ac:dyDescent="0.35"/>
    <row r="2268" ht="30" customHeight="1" x14ac:dyDescent="0.35"/>
    <row r="2269" ht="30" customHeight="1" x14ac:dyDescent="0.35"/>
    <row r="2270" ht="30" customHeight="1" x14ac:dyDescent="0.35"/>
    <row r="2271" ht="30" customHeight="1" x14ac:dyDescent="0.35"/>
    <row r="2272" ht="30" customHeight="1" x14ac:dyDescent="0.35"/>
    <row r="2273" ht="30" customHeight="1" x14ac:dyDescent="0.35"/>
    <row r="2274" ht="30" customHeight="1" x14ac:dyDescent="0.35"/>
    <row r="2275" ht="30" customHeight="1" x14ac:dyDescent="0.35"/>
    <row r="2276" ht="30" customHeight="1" x14ac:dyDescent="0.35"/>
    <row r="2277" ht="20.149999999999999" customHeight="1" x14ac:dyDescent="0.35"/>
    <row r="2278" ht="20.149999999999999" customHeight="1" x14ac:dyDescent="0.35"/>
    <row r="2279" ht="20.149999999999999" customHeight="1" x14ac:dyDescent="0.35"/>
    <row r="2280" ht="20.149999999999999" hidden="1" customHeight="1" x14ac:dyDescent="0.35"/>
    <row r="2281" ht="20.149999999999999" hidden="1" customHeight="1" x14ac:dyDescent="0.35"/>
    <row r="2282" ht="20.149999999999999" hidden="1" customHeight="1" x14ac:dyDescent="0.35"/>
    <row r="2283" ht="20.149999999999999" hidden="1" customHeight="1" x14ac:dyDescent="0.35"/>
    <row r="2284" ht="20.149999999999999" hidden="1" customHeight="1" x14ac:dyDescent="0.35"/>
    <row r="2285" ht="20.149999999999999" hidden="1" customHeight="1" x14ac:dyDescent="0.35"/>
    <row r="2286" ht="20.149999999999999" hidden="1" customHeight="1" x14ac:dyDescent="0.35"/>
    <row r="2287" ht="20.149999999999999" hidden="1" customHeight="1" x14ac:dyDescent="0.35"/>
    <row r="2288" ht="20.149999999999999" hidden="1" customHeight="1" x14ac:dyDescent="0.35"/>
    <row r="2289" ht="20.149999999999999" hidden="1" customHeight="1" x14ac:dyDescent="0.35"/>
    <row r="2290" ht="20.149999999999999" hidden="1" customHeight="1" x14ac:dyDescent="0.35"/>
    <row r="2291" ht="20.149999999999999" hidden="1" customHeight="1" x14ac:dyDescent="0.35"/>
    <row r="2292" ht="20.149999999999999" hidden="1" customHeight="1" x14ac:dyDescent="0.35"/>
    <row r="2293" ht="20.149999999999999" hidden="1" customHeight="1" x14ac:dyDescent="0.35"/>
    <row r="2294" ht="20.149999999999999" hidden="1" customHeight="1" x14ac:dyDescent="0.35"/>
    <row r="2295" ht="20.149999999999999" hidden="1" customHeight="1" x14ac:dyDescent="0.35"/>
    <row r="2296" ht="20.149999999999999" hidden="1" customHeight="1" x14ac:dyDescent="0.35"/>
    <row r="2297" ht="20.149999999999999" hidden="1" customHeight="1" x14ac:dyDescent="0.35"/>
    <row r="2298" ht="20.149999999999999" hidden="1" customHeight="1" x14ac:dyDescent="0.35"/>
    <row r="2299" ht="20.149999999999999" hidden="1" customHeight="1" x14ac:dyDescent="0.35"/>
    <row r="2300" ht="20.149999999999999" hidden="1" customHeight="1" x14ac:dyDescent="0.35"/>
    <row r="2301" ht="20.149999999999999" hidden="1" customHeight="1" x14ac:dyDescent="0.35"/>
    <row r="2302" ht="20.149999999999999" hidden="1" customHeight="1" x14ac:dyDescent="0.35"/>
    <row r="2303" ht="20.149999999999999" hidden="1" customHeight="1" x14ac:dyDescent="0.35"/>
    <row r="2304" ht="20.149999999999999" hidden="1" customHeight="1" x14ac:dyDescent="0.35"/>
    <row r="2305" ht="20.149999999999999" hidden="1" customHeight="1" x14ac:dyDescent="0.35"/>
    <row r="2306" ht="20.149999999999999" hidden="1" customHeight="1" x14ac:dyDescent="0.35"/>
    <row r="2307" ht="20.149999999999999" hidden="1" customHeight="1" x14ac:dyDescent="0.35"/>
    <row r="2308" ht="20.149999999999999" hidden="1" customHeight="1" x14ac:dyDescent="0.35"/>
    <row r="2309" ht="20.149999999999999" hidden="1" customHeight="1" x14ac:dyDescent="0.35"/>
    <row r="2310" ht="20.149999999999999" hidden="1" customHeight="1" x14ac:dyDescent="0.35"/>
    <row r="2311" ht="20.149999999999999" hidden="1" customHeight="1" x14ac:dyDescent="0.35"/>
    <row r="2312" ht="20.149999999999999" hidden="1" customHeight="1" x14ac:dyDescent="0.35"/>
    <row r="2313" ht="20.149999999999999" hidden="1" customHeight="1" x14ac:dyDescent="0.35"/>
    <row r="2314" ht="20.149999999999999" hidden="1" customHeight="1" x14ac:dyDescent="0.35"/>
    <row r="2315" ht="20.149999999999999" hidden="1" customHeight="1" x14ac:dyDescent="0.35"/>
    <row r="2316" ht="20.149999999999999" hidden="1" customHeight="1" x14ac:dyDescent="0.35"/>
    <row r="2317" ht="20.149999999999999" hidden="1" customHeight="1" x14ac:dyDescent="0.35"/>
    <row r="2318" ht="20.149999999999999" hidden="1" customHeight="1" x14ac:dyDescent="0.35"/>
    <row r="2319" ht="20.149999999999999" hidden="1" customHeight="1" x14ac:dyDescent="0.35"/>
    <row r="2320" ht="20.149999999999999" hidden="1" customHeight="1" x14ac:dyDescent="0.35"/>
    <row r="2321" ht="20.149999999999999" hidden="1" customHeight="1" x14ac:dyDescent="0.35"/>
    <row r="2322" ht="20.149999999999999" hidden="1" customHeight="1" x14ac:dyDescent="0.35"/>
    <row r="2323" ht="20.149999999999999" hidden="1" customHeight="1" x14ac:dyDescent="0.35"/>
    <row r="2324" ht="20.149999999999999" hidden="1" customHeight="1" x14ac:dyDescent="0.35"/>
    <row r="2325" ht="20.149999999999999" hidden="1" customHeight="1" x14ac:dyDescent="0.35"/>
    <row r="2326" ht="20.149999999999999" hidden="1" customHeight="1" x14ac:dyDescent="0.35"/>
    <row r="2327" x14ac:dyDescent="0.35"/>
    <row r="2328" x14ac:dyDescent="0.35"/>
    <row r="2329" x14ac:dyDescent="0.35"/>
    <row r="2330" x14ac:dyDescent="0.35"/>
    <row r="2331" x14ac:dyDescent="0.35"/>
    <row r="2332" x14ac:dyDescent="0.35"/>
    <row r="2333" x14ac:dyDescent="0.35"/>
    <row r="2334" x14ac:dyDescent="0.35"/>
    <row r="2335" x14ac:dyDescent="0.35"/>
    <row r="2336" x14ac:dyDescent="0.35"/>
    <row r="2342" x14ac:dyDescent="0.35"/>
    <row r="2349" x14ac:dyDescent="0.35"/>
    <row r="2350" x14ac:dyDescent="0.35"/>
    <row r="2351" x14ac:dyDescent="0.35"/>
    <row r="3582" x14ac:dyDescent="0.35"/>
    <row r="3583" x14ac:dyDescent="0.35"/>
    <row r="3597" spans="2:6" x14ac:dyDescent="0.35"/>
    <row r="3598" spans="2:6" hidden="1" x14ac:dyDescent="0.35">
      <c r="B3598" s="28"/>
      <c r="C3598" s="29"/>
      <c r="D3598" s="30"/>
      <c r="E3598" s="30"/>
      <c r="F3598" s="30"/>
    </row>
    <row r="3599" spans="2:6" hidden="1" x14ac:dyDescent="0.35">
      <c r="B3599" s="28"/>
      <c r="C3599" s="29"/>
      <c r="D3599" s="30"/>
      <c r="E3599" s="30"/>
      <c r="F3599" s="30"/>
    </row>
    <row r="3600" spans="2:6" hidden="1" x14ac:dyDescent="0.35">
      <c r="B3600" s="28"/>
      <c r="C3600" s="29"/>
      <c r="D3600" s="30"/>
      <c r="E3600" s="30"/>
      <c r="F3600" s="30"/>
    </row>
    <row r="3601" spans="2:6" hidden="1" x14ac:dyDescent="0.35">
      <c r="B3601" s="28"/>
      <c r="C3601" s="29"/>
      <c r="D3601" s="30"/>
      <c r="E3601" s="30"/>
      <c r="F3601" s="30"/>
    </row>
    <row r="3602" spans="2:6" hidden="1" x14ac:dyDescent="0.35">
      <c r="B3602" s="28"/>
      <c r="C3602" s="29"/>
      <c r="D3602" s="30"/>
      <c r="E3602" s="30"/>
      <c r="F3602" s="30"/>
    </row>
    <row r="3603" spans="2:6" hidden="1" x14ac:dyDescent="0.35">
      <c r="B3603" s="28"/>
      <c r="C3603" s="29"/>
      <c r="D3603" s="30"/>
      <c r="E3603" s="30"/>
      <c r="F3603" s="30"/>
    </row>
    <row r="3604" spans="2:6" hidden="1" x14ac:dyDescent="0.35">
      <c r="B3604" s="28"/>
      <c r="C3604" s="29"/>
      <c r="D3604" s="30"/>
      <c r="E3604" s="30"/>
      <c r="F3604" s="30"/>
    </row>
    <row r="3605" spans="2:6" hidden="1" x14ac:dyDescent="0.35">
      <c r="B3605" s="28"/>
      <c r="C3605" s="29"/>
      <c r="D3605" s="30"/>
      <c r="E3605" s="30"/>
      <c r="F3605" s="30"/>
    </row>
    <row r="3606" spans="2:6" hidden="1" x14ac:dyDescent="0.35">
      <c r="B3606" s="28"/>
      <c r="C3606" s="29"/>
      <c r="D3606" s="30"/>
      <c r="E3606" s="30"/>
      <c r="F3606" s="30"/>
    </row>
    <row r="3607" spans="2:6" hidden="1" x14ac:dyDescent="0.35">
      <c r="B3607" s="28"/>
      <c r="C3607" s="29"/>
      <c r="D3607" s="30"/>
      <c r="E3607" s="30"/>
      <c r="F3607" s="30"/>
    </row>
    <row r="3608" spans="2:6" hidden="1" x14ac:dyDescent="0.35">
      <c r="B3608" s="28"/>
      <c r="C3608" s="29"/>
      <c r="D3608" s="30"/>
      <c r="E3608" s="30"/>
      <c r="F3608" s="30"/>
    </row>
    <row r="3609" spans="2:6" hidden="1" x14ac:dyDescent="0.35">
      <c r="B3609" s="28"/>
      <c r="C3609" s="29"/>
      <c r="D3609" s="30"/>
      <c r="E3609" s="30"/>
      <c r="F3609" s="30"/>
    </row>
    <row r="3610" spans="2:6" hidden="1" x14ac:dyDescent="0.35">
      <c r="B3610" s="28"/>
      <c r="C3610" s="29"/>
      <c r="D3610" s="30"/>
      <c r="E3610" s="30"/>
      <c r="F3610" s="30"/>
    </row>
    <row r="3611" spans="2:6" hidden="1" x14ac:dyDescent="0.35">
      <c r="B3611" s="28"/>
      <c r="C3611" s="29"/>
      <c r="D3611" s="30"/>
      <c r="E3611" s="30"/>
      <c r="F3611" s="30"/>
    </row>
    <row r="3612" spans="2:6" hidden="1" x14ac:dyDescent="0.35">
      <c r="B3612" s="28"/>
      <c r="C3612" s="29"/>
      <c r="D3612" s="30"/>
      <c r="E3612" s="30"/>
      <c r="F3612" s="30"/>
    </row>
    <row r="3613" spans="2:6" hidden="1" x14ac:dyDescent="0.35">
      <c r="B3613" s="28"/>
      <c r="C3613" s="29"/>
      <c r="D3613" s="30"/>
      <c r="E3613" s="30"/>
      <c r="F3613" s="30"/>
    </row>
    <row r="3614" spans="2:6" hidden="1" x14ac:dyDescent="0.35">
      <c r="B3614" s="28"/>
      <c r="C3614" s="29"/>
      <c r="D3614" s="30"/>
      <c r="E3614" s="30"/>
      <c r="F3614" s="30"/>
    </row>
    <row r="3615" spans="2:6" hidden="1" x14ac:dyDescent="0.35">
      <c r="B3615" s="28"/>
      <c r="C3615" s="29"/>
      <c r="D3615" s="30"/>
      <c r="E3615" s="30"/>
      <c r="F3615" s="30"/>
    </row>
    <row r="3616" spans="2:6" hidden="1" x14ac:dyDescent="0.35">
      <c r="B3616" s="28"/>
      <c r="C3616" s="29"/>
      <c r="D3616" s="30"/>
      <c r="E3616" s="30"/>
      <c r="F3616" s="30"/>
    </row>
    <row r="3617" spans="2:6" hidden="1" x14ac:dyDescent="0.35">
      <c r="B3617" s="28"/>
      <c r="C3617" s="29"/>
      <c r="D3617" s="30"/>
      <c r="E3617" s="30"/>
      <c r="F3617" s="30"/>
    </row>
    <row r="3618" spans="2:6" hidden="1" x14ac:dyDescent="0.35">
      <c r="B3618" s="28"/>
      <c r="C3618" s="29"/>
      <c r="D3618" s="30"/>
      <c r="E3618" s="30"/>
      <c r="F3618" s="30"/>
    </row>
    <row r="3619" spans="2:6" hidden="1" x14ac:dyDescent="0.35">
      <c r="B3619" s="28"/>
      <c r="C3619" s="29"/>
      <c r="D3619" s="30"/>
      <c r="E3619" s="30"/>
      <c r="F3619" s="30"/>
    </row>
    <row r="3620" spans="2:6" hidden="1" x14ac:dyDescent="0.35">
      <c r="B3620" s="28"/>
      <c r="C3620" s="29"/>
      <c r="D3620" s="30"/>
      <c r="E3620" s="30"/>
      <c r="F3620" s="30"/>
    </row>
    <row r="3621" spans="2:6" hidden="1" x14ac:dyDescent="0.35">
      <c r="B3621" s="28"/>
      <c r="C3621" s="29"/>
      <c r="D3621" s="30"/>
      <c r="E3621" s="30"/>
      <c r="F3621" s="30"/>
    </row>
    <row r="3622" spans="2:6" hidden="1" x14ac:dyDescent="0.35">
      <c r="B3622" s="28"/>
      <c r="C3622" s="29"/>
      <c r="D3622" s="30"/>
      <c r="E3622" s="30"/>
      <c r="F3622" s="30"/>
    </row>
    <row r="3623" spans="2:6" hidden="1" x14ac:dyDescent="0.35">
      <c r="B3623" s="28"/>
      <c r="C3623" s="29"/>
      <c r="D3623" s="30"/>
      <c r="E3623" s="30"/>
      <c r="F3623" s="30"/>
    </row>
    <row r="3624" spans="2:6" hidden="1" x14ac:dyDescent="0.35">
      <c r="B3624" s="28"/>
      <c r="C3624" s="29"/>
      <c r="D3624" s="30"/>
      <c r="E3624" s="30"/>
      <c r="F3624" s="30"/>
    </row>
    <row r="3625" spans="2:6" hidden="1" x14ac:dyDescent="0.35">
      <c r="B3625" s="28"/>
      <c r="C3625" s="29"/>
      <c r="D3625" s="30"/>
      <c r="E3625" s="30"/>
      <c r="F3625" s="30"/>
    </row>
    <row r="3626" spans="2:6" hidden="1" x14ac:dyDescent="0.35">
      <c r="B3626" s="28"/>
      <c r="C3626" s="29"/>
      <c r="D3626" s="30"/>
      <c r="E3626" s="30"/>
      <c r="F3626" s="30"/>
    </row>
    <row r="3627" spans="2:6" hidden="1" x14ac:dyDescent="0.35">
      <c r="B3627" s="28"/>
      <c r="C3627" s="29"/>
      <c r="D3627" s="30"/>
      <c r="E3627" s="30"/>
      <c r="F3627" s="30"/>
    </row>
    <row r="3628" spans="2:6" hidden="1" x14ac:dyDescent="0.35">
      <c r="B3628" s="28"/>
      <c r="C3628" s="29"/>
      <c r="D3628" s="30"/>
      <c r="E3628" s="30"/>
      <c r="F3628" s="30"/>
    </row>
    <row r="3629" spans="2:6" hidden="1" x14ac:dyDescent="0.35">
      <c r="B3629" s="28"/>
      <c r="C3629" s="29"/>
      <c r="D3629" s="30"/>
      <c r="E3629" s="30"/>
      <c r="F3629" s="30"/>
    </row>
    <row r="3630" spans="2:6" hidden="1" x14ac:dyDescent="0.35">
      <c r="B3630" s="28"/>
      <c r="C3630" s="29"/>
      <c r="D3630" s="30"/>
      <c r="E3630" s="30"/>
      <c r="F3630" s="30"/>
    </row>
    <row r="3631" spans="2:6" hidden="1" x14ac:dyDescent="0.35">
      <c r="B3631" s="28"/>
      <c r="C3631" s="29"/>
      <c r="D3631" s="30"/>
      <c r="E3631" s="30"/>
      <c r="F3631" s="30"/>
    </row>
    <row r="3632" spans="2:6" hidden="1" x14ac:dyDescent="0.35">
      <c r="B3632" s="28"/>
      <c r="C3632" s="29"/>
      <c r="D3632" s="30"/>
      <c r="E3632" s="30"/>
      <c r="F3632" s="30"/>
    </row>
    <row r="3633" spans="2:6" hidden="1" x14ac:dyDescent="0.35">
      <c r="B3633" s="28"/>
      <c r="C3633" s="29"/>
      <c r="D3633" s="30"/>
      <c r="E3633" s="30"/>
      <c r="F3633" s="30"/>
    </row>
    <row r="3634" spans="2:6" hidden="1" x14ac:dyDescent="0.35">
      <c r="B3634" s="28"/>
      <c r="C3634" s="29"/>
      <c r="D3634" s="30"/>
      <c r="E3634" s="30"/>
      <c r="F3634" s="30"/>
    </row>
    <row r="3635" spans="2:6" hidden="1" x14ac:dyDescent="0.35">
      <c r="B3635" s="28"/>
      <c r="C3635" s="29"/>
      <c r="D3635" s="30"/>
      <c r="E3635" s="30"/>
      <c r="F3635" s="30"/>
    </row>
    <row r="3636" spans="2:6" hidden="1" x14ac:dyDescent="0.35">
      <c r="B3636" s="28"/>
      <c r="C3636" s="29"/>
      <c r="D3636" s="30"/>
      <c r="E3636" s="30"/>
      <c r="F3636" s="30"/>
    </row>
    <row r="3637" spans="2:6" hidden="1" x14ac:dyDescent="0.35">
      <c r="B3637" s="28"/>
      <c r="C3637" s="29"/>
      <c r="D3637" s="30"/>
      <c r="E3637" s="30"/>
      <c r="F3637" s="30"/>
    </row>
    <row r="3638" spans="2:6" hidden="1" x14ac:dyDescent="0.35">
      <c r="B3638" s="28"/>
      <c r="C3638" s="29"/>
      <c r="D3638" s="30"/>
      <c r="E3638" s="30"/>
      <c r="F3638" s="30"/>
    </row>
    <row r="3639" spans="2:6" hidden="1" x14ac:dyDescent="0.35">
      <c r="B3639" s="28"/>
      <c r="C3639" s="29"/>
      <c r="D3639" s="30"/>
      <c r="E3639" s="30"/>
      <c r="F3639" s="30"/>
    </row>
    <row r="3640" spans="2:6" hidden="1" x14ac:dyDescent="0.35">
      <c r="B3640" s="28"/>
      <c r="C3640" s="29"/>
      <c r="D3640" s="30"/>
      <c r="E3640" s="30"/>
      <c r="F3640" s="30"/>
    </row>
    <row r="3641" spans="2:6" hidden="1" x14ac:dyDescent="0.35">
      <c r="B3641" s="28"/>
      <c r="C3641" s="29"/>
      <c r="D3641" s="30"/>
      <c r="E3641" s="30"/>
      <c r="F3641" s="30"/>
    </row>
    <row r="3642" spans="2:6" hidden="1" x14ac:dyDescent="0.35">
      <c r="B3642" s="28"/>
      <c r="C3642" s="29"/>
      <c r="D3642" s="30"/>
      <c r="E3642" s="30"/>
      <c r="F3642" s="30"/>
    </row>
    <row r="3643" spans="2:6" hidden="1" x14ac:dyDescent="0.35">
      <c r="B3643" s="28"/>
      <c r="C3643" s="29"/>
      <c r="D3643" s="30"/>
      <c r="E3643" s="30"/>
      <c r="F3643" s="30"/>
    </row>
    <row r="3644" spans="2:6" hidden="1" x14ac:dyDescent="0.35">
      <c r="B3644" s="28"/>
      <c r="C3644" s="29"/>
      <c r="D3644" s="30"/>
      <c r="E3644" s="30"/>
      <c r="F3644" s="30"/>
    </row>
    <row r="3645" spans="2:6" hidden="1" x14ac:dyDescent="0.35">
      <c r="B3645" s="28"/>
      <c r="C3645" s="29"/>
      <c r="D3645" s="30"/>
      <c r="E3645" s="30"/>
      <c r="F3645" s="30"/>
    </row>
    <row r="3646" spans="2:6" hidden="1" x14ac:dyDescent="0.35">
      <c r="B3646" s="28"/>
      <c r="C3646" s="29"/>
      <c r="D3646" s="30"/>
      <c r="E3646" s="30"/>
      <c r="F3646" s="30"/>
    </row>
    <row r="3647" spans="2:6" hidden="1" x14ac:dyDescent="0.35">
      <c r="B3647" s="28"/>
      <c r="C3647" s="29"/>
      <c r="D3647" s="30"/>
      <c r="E3647" s="30"/>
      <c r="F3647" s="30"/>
    </row>
    <row r="3648" spans="2:6" hidden="1" x14ac:dyDescent="0.35">
      <c r="B3648" s="28"/>
      <c r="C3648" s="29"/>
      <c r="D3648" s="30"/>
      <c r="E3648" s="30"/>
      <c r="F3648" s="30"/>
    </row>
    <row r="3649" spans="2:6" hidden="1" x14ac:dyDescent="0.35">
      <c r="B3649" s="28"/>
      <c r="C3649" s="29"/>
      <c r="D3649" s="30"/>
      <c r="E3649" s="30"/>
      <c r="F3649" s="30"/>
    </row>
    <row r="3650" spans="2:6" hidden="1" x14ac:dyDescent="0.35">
      <c r="B3650" s="28"/>
      <c r="C3650" s="29"/>
      <c r="D3650" s="30"/>
      <c r="E3650" s="30"/>
      <c r="F3650" s="30"/>
    </row>
    <row r="3651" spans="2:6" hidden="1" x14ac:dyDescent="0.35">
      <c r="B3651" s="28"/>
      <c r="C3651" s="29"/>
      <c r="D3651" s="30"/>
      <c r="E3651" s="30"/>
      <c r="F3651" s="30"/>
    </row>
    <row r="3652" spans="2:6" hidden="1" x14ac:dyDescent="0.35">
      <c r="B3652" s="28"/>
      <c r="C3652" s="29"/>
      <c r="D3652" s="30"/>
      <c r="E3652" s="30"/>
      <c r="F3652" s="30"/>
    </row>
    <row r="3653" spans="2:6" hidden="1" x14ac:dyDescent="0.35">
      <c r="B3653" s="28"/>
      <c r="C3653" s="29"/>
      <c r="D3653" s="30"/>
      <c r="E3653" s="30"/>
      <c r="F3653" s="30"/>
    </row>
    <row r="3654" spans="2:6" hidden="1" x14ac:dyDescent="0.35">
      <c r="B3654" s="28"/>
      <c r="C3654" s="29"/>
      <c r="D3654" s="30"/>
      <c r="E3654" s="30"/>
      <c r="F3654" s="30"/>
    </row>
    <row r="3655" spans="2:6" hidden="1" x14ac:dyDescent="0.35">
      <c r="B3655" s="28"/>
      <c r="C3655" s="29"/>
      <c r="D3655" s="30"/>
      <c r="E3655" s="30"/>
      <c r="F3655" s="30"/>
    </row>
    <row r="3656" spans="2:6" hidden="1" x14ac:dyDescent="0.35">
      <c r="B3656" s="28"/>
      <c r="C3656" s="29"/>
      <c r="D3656" s="30"/>
      <c r="E3656" s="30"/>
      <c r="F3656" s="30"/>
    </row>
    <row r="3657" spans="2:6" hidden="1" x14ac:dyDescent="0.35">
      <c r="B3657" s="28"/>
      <c r="C3657" s="29"/>
      <c r="D3657" s="30"/>
      <c r="E3657" s="30"/>
      <c r="F3657" s="30"/>
    </row>
    <row r="3658" spans="2:6" hidden="1" x14ac:dyDescent="0.35">
      <c r="B3658" s="28"/>
      <c r="C3658" s="29"/>
      <c r="D3658" s="30"/>
      <c r="E3658" s="30"/>
      <c r="F3658" s="30"/>
    </row>
    <row r="3659" spans="2:6" hidden="1" x14ac:dyDescent="0.35">
      <c r="B3659" s="28"/>
      <c r="C3659" s="29"/>
      <c r="D3659" s="30"/>
      <c r="E3659" s="30"/>
      <c r="F3659" s="30"/>
    </row>
    <row r="3660" spans="2:6" hidden="1" x14ac:dyDescent="0.35">
      <c r="B3660" s="28"/>
      <c r="C3660" s="29"/>
      <c r="D3660" s="30"/>
      <c r="E3660" s="30"/>
      <c r="F3660" s="30"/>
    </row>
    <row r="3661" spans="2:6" hidden="1" x14ac:dyDescent="0.35">
      <c r="B3661" s="28"/>
      <c r="C3661" s="29"/>
      <c r="D3661" s="30"/>
      <c r="E3661" s="30"/>
      <c r="F3661" s="30"/>
    </row>
    <row r="3662" spans="2:6" hidden="1" x14ac:dyDescent="0.35">
      <c r="B3662" s="28"/>
      <c r="C3662" s="29"/>
      <c r="D3662" s="30"/>
      <c r="E3662" s="30"/>
      <c r="F3662" s="30"/>
    </row>
    <row r="3663" spans="2:6" hidden="1" x14ac:dyDescent="0.35">
      <c r="B3663" s="28"/>
      <c r="C3663" s="29"/>
      <c r="D3663" s="30"/>
      <c r="E3663" s="30"/>
      <c r="F3663" s="30"/>
    </row>
    <row r="3664" spans="2:6" hidden="1" x14ac:dyDescent="0.35">
      <c r="B3664" s="28"/>
      <c r="C3664" s="29"/>
      <c r="D3664" s="30"/>
      <c r="E3664" s="30"/>
      <c r="F3664" s="30"/>
    </row>
    <row r="3665" spans="2:6" hidden="1" x14ac:dyDescent="0.35">
      <c r="B3665" s="28"/>
      <c r="C3665" s="29"/>
      <c r="D3665" s="30"/>
      <c r="E3665" s="30"/>
      <c r="F3665" s="30"/>
    </row>
    <row r="3666" spans="2:6" hidden="1" x14ac:dyDescent="0.35">
      <c r="B3666" s="28"/>
      <c r="C3666" s="29"/>
      <c r="D3666" s="30"/>
      <c r="E3666" s="30"/>
      <c r="F3666" s="30"/>
    </row>
    <row r="3667" spans="2:6" hidden="1" x14ac:dyDescent="0.35">
      <c r="B3667" s="28"/>
      <c r="C3667" s="29"/>
      <c r="D3667" s="30"/>
      <c r="E3667" s="30"/>
      <c r="F3667" s="30"/>
    </row>
    <row r="3668" spans="2:6" hidden="1" x14ac:dyDescent="0.35">
      <c r="B3668" s="28"/>
      <c r="C3668" s="29"/>
      <c r="D3668" s="30"/>
      <c r="E3668" s="30"/>
      <c r="F3668" s="30"/>
    </row>
    <row r="3669" spans="2:6" hidden="1" x14ac:dyDescent="0.35">
      <c r="B3669" s="28"/>
      <c r="C3669" s="29"/>
      <c r="D3669" s="30"/>
      <c r="E3669" s="30"/>
      <c r="F3669" s="30"/>
    </row>
    <row r="3670" spans="2:6" hidden="1" x14ac:dyDescent="0.35">
      <c r="B3670" s="28"/>
      <c r="C3670" s="29"/>
      <c r="D3670" s="30"/>
      <c r="E3670" s="30"/>
      <c r="F3670" s="30"/>
    </row>
    <row r="3671" spans="2:6" hidden="1" x14ac:dyDescent="0.35">
      <c r="B3671" s="28"/>
      <c r="C3671" s="29"/>
      <c r="D3671" s="30"/>
      <c r="E3671" s="30"/>
      <c r="F3671" s="30"/>
    </row>
    <row r="3672" spans="2:6" hidden="1" x14ac:dyDescent="0.35">
      <c r="B3672" s="28"/>
      <c r="C3672" s="29"/>
      <c r="D3672" s="30"/>
      <c r="E3672" s="30"/>
      <c r="F3672" s="30"/>
    </row>
    <row r="3673" spans="2:6" hidden="1" x14ac:dyDescent="0.35">
      <c r="B3673" s="28"/>
      <c r="C3673" s="29"/>
      <c r="D3673" s="30"/>
      <c r="E3673" s="30"/>
      <c r="F3673" s="30"/>
    </row>
    <row r="3674" spans="2:6" hidden="1" x14ac:dyDescent="0.35">
      <c r="B3674" s="28"/>
      <c r="C3674" s="29"/>
      <c r="D3674" s="30"/>
      <c r="E3674" s="30"/>
      <c r="F3674" s="30"/>
    </row>
    <row r="3675" spans="2:6" hidden="1" x14ac:dyDescent="0.35">
      <c r="B3675" s="28"/>
      <c r="C3675" s="29"/>
      <c r="D3675" s="30"/>
      <c r="E3675" s="30"/>
      <c r="F3675" s="30"/>
    </row>
    <row r="3676" spans="2:6" hidden="1" x14ac:dyDescent="0.35">
      <c r="B3676" s="28"/>
      <c r="C3676" s="29"/>
      <c r="D3676" s="30"/>
      <c r="E3676" s="30"/>
      <c r="F3676" s="30"/>
    </row>
    <row r="3677" spans="2:6" hidden="1" x14ac:dyDescent="0.35">
      <c r="B3677" s="28"/>
      <c r="C3677" s="29"/>
      <c r="D3677" s="30"/>
      <c r="E3677" s="30"/>
      <c r="F3677" s="30"/>
    </row>
    <row r="3678" spans="2:6" hidden="1" x14ac:dyDescent="0.35">
      <c r="B3678" s="28"/>
      <c r="C3678" s="29"/>
      <c r="D3678" s="30"/>
      <c r="E3678" s="30"/>
      <c r="F3678" s="30"/>
    </row>
    <row r="3679" spans="2:6" hidden="1" x14ac:dyDescent="0.35">
      <c r="B3679" s="28"/>
      <c r="C3679" s="29"/>
      <c r="D3679" s="30"/>
      <c r="E3679" s="30"/>
      <c r="F3679" s="30"/>
    </row>
    <row r="3680" spans="2:6" hidden="1" x14ac:dyDescent="0.35">
      <c r="B3680" s="28"/>
      <c r="C3680" s="29"/>
      <c r="D3680" s="30"/>
      <c r="E3680" s="30"/>
      <c r="F3680" s="30"/>
    </row>
    <row r="3681" spans="2:6" hidden="1" x14ac:dyDescent="0.35">
      <c r="B3681" s="28"/>
      <c r="C3681" s="29"/>
      <c r="D3681" s="30"/>
      <c r="E3681" s="30"/>
      <c r="F3681" s="30"/>
    </row>
    <row r="3682" spans="2:6" hidden="1" x14ac:dyDescent="0.35">
      <c r="B3682" s="28"/>
      <c r="C3682" s="29"/>
      <c r="D3682" s="30"/>
      <c r="E3682" s="30"/>
      <c r="F3682" s="30"/>
    </row>
    <row r="3683" spans="2:6" hidden="1" x14ac:dyDescent="0.35">
      <c r="B3683" s="28"/>
      <c r="C3683" s="29"/>
      <c r="D3683" s="30"/>
      <c r="E3683" s="30"/>
      <c r="F3683" s="30"/>
    </row>
    <row r="3684" spans="2:6" hidden="1" x14ac:dyDescent="0.35">
      <c r="B3684" s="28"/>
      <c r="C3684" s="29"/>
      <c r="D3684" s="30"/>
      <c r="E3684" s="30"/>
      <c r="F3684" s="30"/>
    </row>
    <row r="3685" spans="2:6" hidden="1" x14ac:dyDescent="0.35">
      <c r="B3685" s="28"/>
      <c r="C3685" s="29"/>
      <c r="D3685" s="30"/>
      <c r="E3685" s="30"/>
      <c r="F3685" s="30"/>
    </row>
    <row r="3686" spans="2:6" hidden="1" x14ac:dyDescent="0.35">
      <c r="B3686" s="28"/>
      <c r="C3686" s="29"/>
      <c r="D3686" s="30"/>
      <c r="E3686" s="30"/>
      <c r="F3686" s="30"/>
    </row>
    <row r="3687" spans="2:6" hidden="1" x14ac:dyDescent="0.35">
      <c r="B3687" s="28"/>
      <c r="C3687" s="29"/>
      <c r="D3687" s="30"/>
      <c r="E3687" s="30"/>
      <c r="F3687" s="30"/>
    </row>
    <row r="3688" spans="2:6" hidden="1" x14ac:dyDescent="0.35">
      <c r="B3688" s="28"/>
      <c r="C3688" s="29"/>
      <c r="D3688" s="30"/>
      <c r="E3688" s="30"/>
      <c r="F3688" s="30"/>
    </row>
    <row r="3689" spans="2:6" hidden="1" x14ac:dyDescent="0.35">
      <c r="B3689" s="28"/>
      <c r="C3689" s="29"/>
      <c r="D3689" s="30"/>
      <c r="E3689" s="30"/>
      <c r="F3689" s="30"/>
    </row>
    <row r="3690" spans="2:6" hidden="1" x14ac:dyDescent="0.35">
      <c r="B3690" s="28"/>
      <c r="C3690" s="29"/>
      <c r="D3690" s="30"/>
      <c r="E3690" s="30"/>
      <c r="F3690" s="30"/>
    </row>
    <row r="3691" spans="2:6" hidden="1" x14ac:dyDescent="0.35">
      <c r="B3691" s="28"/>
      <c r="C3691" s="29"/>
      <c r="D3691" s="30"/>
      <c r="E3691" s="30"/>
      <c r="F3691" s="30"/>
    </row>
    <row r="3692" spans="2:6" hidden="1" x14ac:dyDescent="0.35">
      <c r="B3692" s="28"/>
      <c r="C3692" s="29"/>
      <c r="D3692" s="30"/>
      <c r="E3692" s="30"/>
      <c r="F3692" s="30"/>
    </row>
    <row r="3693" spans="2:6" hidden="1" x14ac:dyDescent="0.35">
      <c r="B3693" s="28"/>
      <c r="C3693" s="29"/>
      <c r="D3693" s="30"/>
      <c r="E3693" s="30"/>
      <c r="F3693" s="30"/>
    </row>
    <row r="3694" spans="2:6" hidden="1" x14ac:dyDescent="0.35">
      <c r="B3694" s="28"/>
      <c r="C3694" s="29"/>
      <c r="D3694" s="30"/>
      <c r="E3694" s="30"/>
      <c r="F3694" s="30"/>
    </row>
    <row r="3695" spans="2:6" hidden="1" x14ac:dyDescent="0.35">
      <c r="B3695" s="28"/>
      <c r="C3695" s="29"/>
      <c r="D3695" s="30"/>
      <c r="E3695" s="30"/>
      <c r="F3695" s="30"/>
    </row>
    <row r="3696" spans="2:6" hidden="1" x14ac:dyDescent="0.35">
      <c r="B3696" s="28"/>
      <c r="C3696" s="29"/>
      <c r="D3696" s="30"/>
      <c r="E3696" s="30"/>
      <c r="F3696" s="30"/>
    </row>
    <row r="3697" spans="2:6" hidden="1" x14ac:dyDescent="0.35">
      <c r="B3697" s="28"/>
      <c r="C3697" s="29"/>
      <c r="D3697" s="30"/>
      <c r="E3697" s="30"/>
      <c r="F3697" s="30"/>
    </row>
    <row r="3698" spans="2:6" hidden="1" x14ac:dyDescent="0.35">
      <c r="B3698" s="28"/>
      <c r="C3698" s="29"/>
      <c r="D3698" s="30"/>
      <c r="E3698" s="30"/>
      <c r="F3698" s="30"/>
    </row>
    <row r="3699" spans="2:6" hidden="1" x14ac:dyDescent="0.35">
      <c r="B3699" s="28"/>
      <c r="C3699" s="29"/>
      <c r="D3699" s="30"/>
      <c r="E3699" s="30"/>
      <c r="F3699" s="30"/>
    </row>
    <row r="3700" spans="2:6" hidden="1" x14ac:dyDescent="0.35">
      <c r="B3700" s="28"/>
      <c r="C3700" s="29"/>
      <c r="D3700" s="30"/>
      <c r="E3700" s="30"/>
      <c r="F3700" s="30"/>
    </row>
    <row r="3701" spans="2:6" hidden="1" x14ac:dyDescent="0.35">
      <c r="B3701" s="28"/>
      <c r="C3701" s="29"/>
      <c r="D3701" s="30"/>
      <c r="E3701" s="30"/>
      <c r="F3701" s="30"/>
    </row>
    <row r="3702" spans="2:6" hidden="1" x14ac:dyDescent="0.35">
      <c r="B3702" s="28"/>
      <c r="C3702" s="29"/>
      <c r="D3702" s="30"/>
      <c r="E3702" s="30"/>
      <c r="F3702" s="30"/>
    </row>
    <row r="3703" spans="2:6" hidden="1" x14ac:dyDescent="0.35">
      <c r="B3703" s="28"/>
      <c r="C3703" s="29"/>
      <c r="D3703" s="30"/>
      <c r="E3703" s="30"/>
      <c r="F3703" s="30"/>
    </row>
    <row r="3704" spans="2:6" hidden="1" x14ac:dyDescent="0.35">
      <c r="B3704" s="28"/>
      <c r="C3704" s="29"/>
      <c r="D3704" s="30"/>
      <c r="E3704" s="30"/>
      <c r="F3704" s="30"/>
    </row>
    <row r="3705" spans="2:6" hidden="1" x14ac:dyDescent="0.35">
      <c r="B3705" s="28"/>
      <c r="C3705" s="29"/>
      <c r="D3705" s="30"/>
      <c r="E3705" s="30"/>
      <c r="F3705" s="30"/>
    </row>
    <row r="3706" spans="2:6" hidden="1" x14ac:dyDescent="0.35">
      <c r="B3706" s="28"/>
      <c r="C3706" s="29"/>
      <c r="D3706" s="30"/>
      <c r="E3706" s="30"/>
      <c r="F3706" s="30"/>
    </row>
    <row r="3707" spans="2:6" hidden="1" x14ac:dyDescent="0.35">
      <c r="B3707" s="28"/>
      <c r="C3707" s="29"/>
      <c r="D3707" s="30"/>
      <c r="E3707" s="30"/>
      <c r="F3707" s="30"/>
    </row>
    <row r="3708" spans="2:6" hidden="1" x14ac:dyDescent="0.35">
      <c r="B3708" s="28"/>
      <c r="C3708" s="29"/>
      <c r="D3708" s="30"/>
      <c r="E3708" s="30"/>
      <c r="F3708" s="30"/>
    </row>
    <row r="3709" spans="2:6" hidden="1" x14ac:dyDescent="0.35">
      <c r="B3709" s="28"/>
      <c r="C3709" s="29"/>
      <c r="D3709" s="30"/>
      <c r="E3709" s="30"/>
      <c r="F3709" s="30"/>
    </row>
    <row r="3710" spans="2:6" hidden="1" x14ac:dyDescent="0.35">
      <c r="B3710" s="28"/>
      <c r="C3710" s="29"/>
      <c r="D3710" s="30"/>
      <c r="E3710" s="30"/>
      <c r="F3710" s="30"/>
    </row>
    <row r="3711" spans="2:6" hidden="1" x14ac:dyDescent="0.35">
      <c r="B3711" s="28"/>
      <c r="C3711" s="29"/>
      <c r="D3711" s="30"/>
      <c r="E3711" s="30"/>
      <c r="F3711" s="30"/>
    </row>
    <row r="3712" spans="2:6" hidden="1" x14ac:dyDescent="0.35">
      <c r="B3712" s="28"/>
      <c r="C3712" s="29"/>
      <c r="D3712" s="30"/>
      <c r="E3712" s="30"/>
      <c r="F3712" s="30"/>
    </row>
    <row r="3713" spans="2:6" hidden="1" x14ac:dyDescent="0.35">
      <c r="B3713" s="28"/>
      <c r="C3713" s="29"/>
      <c r="D3713" s="30"/>
      <c r="E3713" s="30"/>
      <c r="F3713" s="30"/>
    </row>
    <row r="3714" spans="2:6" hidden="1" x14ac:dyDescent="0.35">
      <c r="B3714" s="28"/>
      <c r="C3714" s="29"/>
      <c r="D3714" s="30"/>
      <c r="E3714" s="30"/>
      <c r="F3714" s="30"/>
    </row>
    <row r="3715" spans="2:6" hidden="1" x14ac:dyDescent="0.35">
      <c r="B3715" s="28"/>
      <c r="C3715" s="29"/>
      <c r="D3715" s="30"/>
      <c r="E3715" s="30"/>
      <c r="F3715" s="30"/>
    </row>
    <row r="3716" spans="2:6" hidden="1" x14ac:dyDescent="0.35">
      <c r="B3716" s="28"/>
      <c r="C3716" s="29"/>
      <c r="D3716" s="30"/>
      <c r="E3716" s="30"/>
      <c r="F3716" s="30"/>
    </row>
    <row r="3717" spans="2:6" hidden="1" x14ac:dyDescent="0.35">
      <c r="B3717" s="28"/>
      <c r="C3717" s="29"/>
      <c r="D3717" s="30"/>
      <c r="E3717" s="30"/>
      <c r="F3717" s="30"/>
    </row>
    <row r="3718" spans="2:6" hidden="1" x14ac:dyDescent="0.35">
      <c r="B3718" s="28"/>
      <c r="C3718" s="29"/>
      <c r="D3718" s="30"/>
      <c r="E3718" s="30"/>
      <c r="F3718" s="30"/>
    </row>
    <row r="3719" spans="2:6" hidden="1" x14ac:dyDescent="0.35">
      <c r="B3719" s="28"/>
      <c r="C3719" s="29"/>
      <c r="D3719" s="30"/>
      <c r="E3719" s="30"/>
      <c r="F3719" s="30"/>
    </row>
    <row r="3720" spans="2:6" hidden="1" x14ac:dyDescent="0.35">
      <c r="B3720" s="28"/>
      <c r="C3720" s="29"/>
      <c r="D3720" s="30"/>
      <c r="E3720" s="30"/>
      <c r="F3720" s="30"/>
    </row>
    <row r="3721" spans="2:6" hidden="1" x14ac:dyDescent="0.35">
      <c r="B3721" s="28"/>
      <c r="C3721" s="29"/>
      <c r="D3721" s="30"/>
      <c r="E3721" s="30"/>
      <c r="F3721" s="30"/>
    </row>
    <row r="3722" spans="2:6" hidden="1" x14ac:dyDescent="0.35">
      <c r="B3722" s="28"/>
      <c r="C3722" s="29"/>
      <c r="D3722" s="30"/>
      <c r="E3722" s="30"/>
      <c r="F3722" s="30"/>
    </row>
    <row r="3723" spans="2:6" hidden="1" x14ac:dyDescent="0.35">
      <c r="B3723" s="28"/>
      <c r="C3723" s="29"/>
      <c r="D3723" s="30"/>
      <c r="E3723" s="30"/>
      <c r="F3723" s="30"/>
    </row>
    <row r="3724" spans="2:6" hidden="1" x14ac:dyDescent="0.35">
      <c r="B3724" s="28"/>
      <c r="C3724" s="29"/>
      <c r="D3724" s="30"/>
      <c r="E3724" s="30"/>
      <c r="F3724" s="30"/>
    </row>
    <row r="3725" spans="2:6" hidden="1" x14ac:dyDescent="0.35">
      <c r="B3725" s="28"/>
      <c r="C3725" s="29"/>
      <c r="D3725" s="30"/>
      <c r="E3725" s="30"/>
      <c r="F3725" s="30"/>
    </row>
    <row r="3726" spans="2:6" hidden="1" x14ac:dyDescent="0.35">
      <c r="B3726" s="28"/>
      <c r="C3726" s="29"/>
      <c r="D3726" s="30"/>
      <c r="E3726" s="30"/>
      <c r="F3726" s="30"/>
    </row>
    <row r="3727" spans="2:6" hidden="1" x14ac:dyDescent="0.35">
      <c r="B3727" s="28"/>
      <c r="C3727" s="29"/>
      <c r="D3727" s="30"/>
      <c r="E3727" s="30"/>
      <c r="F3727" s="30"/>
    </row>
    <row r="3728" spans="2:6" hidden="1" x14ac:dyDescent="0.35">
      <c r="B3728" s="28"/>
      <c r="C3728" s="29"/>
      <c r="D3728" s="30"/>
      <c r="E3728" s="30"/>
      <c r="F3728" s="30"/>
    </row>
    <row r="3729" spans="2:6" hidden="1" x14ac:dyDescent="0.35">
      <c r="B3729" s="28"/>
      <c r="C3729" s="29"/>
      <c r="D3729" s="30"/>
      <c r="E3729" s="30"/>
      <c r="F3729" s="30"/>
    </row>
    <row r="3730" spans="2:6" hidden="1" x14ac:dyDescent="0.35">
      <c r="B3730" s="28"/>
      <c r="C3730" s="29"/>
      <c r="D3730" s="30"/>
      <c r="E3730" s="30"/>
      <c r="F3730" s="30"/>
    </row>
    <row r="3731" spans="2:6" hidden="1" x14ac:dyDescent="0.35">
      <c r="B3731" s="28"/>
      <c r="C3731" s="29"/>
      <c r="D3731" s="30"/>
      <c r="E3731" s="30"/>
      <c r="F3731" s="30"/>
    </row>
    <row r="3732" spans="2:6" hidden="1" x14ac:dyDescent="0.35">
      <c r="B3732" s="28"/>
      <c r="C3732" s="29"/>
      <c r="D3732" s="30"/>
      <c r="E3732" s="30"/>
      <c r="F3732" s="30"/>
    </row>
    <row r="3733" spans="2:6" hidden="1" x14ac:dyDescent="0.35">
      <c r="B3733" s="28"/>
      <c r="C3733" s="29"/>
      <c r="D3733" s="30"/>
      <c r="E3733" s="30"/>
      <c r="F3733" s="30"/>
    </row>
    <row r="3734" spans="2:6" hidden="1" x14ac:dyDescent="0.35">
      <c r="B3734" s="28"/>
      <c r="C3734" s="29"/>
      <c r="D3734" s="30"/>
      <c r="E3734" s="30"/>
      <c r="F3734" s="30"/>
    </row>
    <row r="3735" spans="2:6" hidden="1" x14ac:dyDescent="0.35">
      <c r="B3735" s="28"/>
      <c r="C3735" s="29"/>
      <c r="D3735" s="30"/>
      <c r="E3735" s="30"/>
      <c r="F3735" s="30"/>
    </row>
    <row r="3736" spans="2:6" hidden="1" x14ac:dyDescent="0.35">
      <c r="B3736" s="28"/>
      <c r="C3736" s="29"/>
      <c r="D3736" s="30"/>
      <c r="E3736" s="30"/>
      <c r="F3736" s="30"/>
    </row>
    <row r="3737" spans="2:6" hidden="1" x14ac:dyDescent="0.35">
      <c r="B3737" s="28"/>
      <c r="C3737" s="29"/>
      <c r="D3737" s="30"/>
      <c r="E3737" s="30"/>
      <c r="F3737" s="30"/>
    </row>
    <row r="3738" spans="2:6" hidden="1" x14ac:dyDescent="0.35">
      <c r="B3738" s="28"/>
      <c r="C3738" s="29"/>
      <c r="D3738" s="30"/>
      <c r="E3738" s="30"/>
      <c r="F3738" s="30"/>
    </row>
    <row r="3739" spans="2:6" hidden="1" x14ac:dyDescent="0.35">
      <c r="B3739" s="28"/>
      <c r="C3739" s="29"/>
      <c r="D3739" s="30"/>
      <c r="E3739" s="30"/>
      <c r="F3739" s="30"/>
    </row>
    <row r="3740" spans="2:6" hidden="1" x14ac:dyDescent="0.35">
      <c r="B3740" s="28"/>
      <c r="C3740" s="29"/>
      <c r="D3740" s="30"/>
      <c r="E3740" s="30"/>
      <c r="F3740" s="30"/>
    </row>
    <row r="3741" spans="2:6" hidden="1" x14ac:dyDescent="0.35">
      <c r="B3741" s="28"/>
      <c r="C3741" s="29"/>
      <c r="D3741" s="30"/>
      <c r="E3741" s="30"/>
      <c r="F3741" s="30"/>
    </row>
    <row r="3742" spans="2:6" hidden="1" x14ac:dyDescent="0.35">
      <c r="B3742" s="28"/>
      <c r="C3742" s="29"/>
      <c r="D3742" s="30"/>
      <c r="E3742" s="30"/>
      <c r="F3742" s="30"/>
    </row>
    <row r="3743" spans="2:6" hidden="1" x14ac:dyDescent="0.35">
      <c r="B3743" s="28"/>
      <c r="C3743" s="29"/>
      <c r="D3743" s="30"/>
      <c r="E3743" s="30"/>
      <c r="F3743" s="30"/>
    </row>
    <row r="3744" spans="2:6" hidden="1" x14ac:dyDescent="0.35">
      <c r="B3744" s="28"/>
      <c r="C3744" s="29"/>
      <c r="D3744" s="30"/>
      <c r="E3744" s="30"/>
      <c r="F3744" s="30"/>
    </row>
    <row r="3745" spans="2:6" hidden="1" x14ac:dyDescent="0.35">
      <c r="B3745" s="28"/>
      <c r="C3745" s="29"/>
      <c r="D3745" s="30"/>
      <c r="E3745" s="30"/>
      <c r="F3745" s="30"/>
    </row>
    <row r="3746" spans="2:6" hidden="1" x14ac:dyDescent="0.35">
      <c r="B3746" s="28"/>
      <c r="C3746" s="29"/>
      <c r="D3746" s="30"/>
      <c r="E3746" s="30"/>
      <c r="F3746" s="30"/>
    </row>
    <row r="3747" spans="2:6" hidden="1" x14ac:dyDescent="0.35">
      <c r="B3747" s="28"/>
      <c r="C3747" s="29"/>
      <c r="D3747" s="30"/>
      <c r="E3747" s="30"/>
      <c r="F3747" s="30"/>
    </row>
    <row r="3748" spans="2:6" hidden="1" x14ac:dyDescent="0.35">
      <c r="B3748" s="28"/>
      <c r="C3748" s="29"/>
      <c r="D3748" s="30"/>
      <c r="E3748" s="30"/>
      <c r="F3748" s="30"/>
    </row>
    <row r="3749" spans="2:6" hidden="1" x14ac:dyDescent="0.35">
      <c r="B3749" s="28"/>
      <c r="C3749" s="29"/>
      <c r="D3749" s="30"/>
      <c r="E3749" s="30"/>
      <c r="F3749" s="30"/>
    </row>
    <row r="3750" spans="2:6" hidden="1" x14ac:dyDescent="0.35">
      <c r="B3750" s="28"/>
      <c r="C3750" s="29"/>
      <c r="D3750" s="30"/>
      <c r="E3750" s="30"/>
      <c r="F3750" s="30"/>
    </row>
    <row r="3751" spans="2:6" hidden="1" x14ac:dyDescent="0.35">
      <c r="B3751" s="28"/>
      <c r="C3751" s="29"/>
      <c r="D3751" s="30"/>
      <c r="E3751" s="30"/>
      <c r="F3751" s="30"/>
    </row>
    <row r="3752" spans="2:6" hidden="1" x14ac:dyDescent="0.35">
      <c r="B3752" s="28"/>
      <c r="C3752" s="29"/>
      <c r="D3752" s="30"/>
      <c r="E3752" s="30"/>
      <c r="F3752" s="30"/>
    </row>
    <row r="3753" spans="2:6" hidden="1" x14ac:dyDescent="0.35">
      <c r="B3753" s="28"/>
      <c r="C3753" s="29"/>
      <c r="D3753" s="30"/>
      <c r="E3753" s="30"/>
      <c r="F3753" s="30"/>
    </row>
    <row r="3754" spans="2:6" hidden="1" x14ac:dyDescent="0.35">
      <c r="B3754" s="28"/>
      <c r="C3754" s="29"/>
      <c r="D3754" s="30"/>
      <c r="E3754" s="30"/>
      <c r="F3754" s="30"/>
    </row>
    <row r="3755" spans="2:6" hidden="1" x14ac:dyDescent="0.35">
      <c r="B3755" s="28"/>
      <c r="C3755" s="29"/>
      <c r="D3755" s="30"/>
      <c r="E3755" s="30"/>
      <c r="F3755" s="30"/>
    </row>
    <row r="3756" spans="2:6" hidden="1" x14ac:dyDescent="0.35">
      <c r="B3756" s="28"/>
      <c r="C3756" s="29"/>
      <c r="D3756" s="30"/>
      <c r="E3756" s="30"/>
      <c r="F3756" s="30"/>
    </row>
    <row r="3757" spans="2:6" hidden="1" x14ac:dyDescent="0.35">
      <c r="B3757" s="28"/>
      <c r="C3757" s="29"/>
      <c r="D3757" s="30"/>
      <c r="E3757" s="30"/>
      <c r="F3757" s="30"/>
    </row>
    <row r="3758" spans="2:6" hidden="1" x14ac:dyDescent="0.35">
      <c r="B3758" s="28"/>
      <c r="C3758" s="29"/>
      <c r="D3758" s="30"/>
      <c r="E3758" s="30"/>
      <c r="F3758" s="30"/>
    </row>
    <row r="3759" spans="2:6" hidden="1" x14ac:dyDescent="0.35">
      <c r="B3759" s="28"/>
      <c r="C3759" s="29"/>
      <c r="D3759" s="30"/>
      <c r="E3759" s="30"/>
      <c r="F3759" s="30"/>
    </row>
    <row r="3760" spans="2:6" hidden="1" x14ac:dyDescent="0.35">
      <c r="B3760" s="28"/>
      <c r="C3760" s="29"/>
      <c r="D3760" s="30"/>
      <c r="E3760" s="30"/>
      <c r="F3760" s="30"/>
    </row>
    <row r="3761" spans="2:6" hidden="1" x14ac:dyDescent="0.35">
      <c r="B3761" s="28"/>
      <c r="C3761" s="29"/>
      <c r="D3761" s="30"/>
      <c r="E3761" s="30"/>
      <c r="F3761" s="30"/>
    </row>
    <row r="3762" spans="2:6" hidden="1" x14ac:dyDescent="0.35">
      <c r="B3762" s="28"/>
      <c r="C3762" s="29"/>
      <c r="D3762" s="30"/>
      <c r="E3762" s="30"/>
      <c r="F3762" s="30"/>
    </row>
    <row r="3763" spans="2:6" hidden="1" x14ac:dyDescent="0.35">
      <c r="B3763" s="28"/>
      <c r="C3763" s="29"/>
      <c r="D3763" s="30"/>
      <c r="E3763" s="30"/>
      <c r="F3763" s="30"/>
    </row>
    <row r="3764" spans="2:6" hidden="1" x14ac:dyDescent="0.35">
      <c r="B3764" s="28"/>
      <c r="C3764" s="29"/>
      <c r="D3764" s="30"/>
      <c r="E3764" s="30"/>
      <c r="F3764" s="30"/>
    </row>
    <row r="3765" spans="2:6" hidden="1" x14ac:dyDescent="0.35">
      <c r="B3765" s="28"/>
      <c r="C3765" s="29"/>
      <c r="D3765" s="30"/>
      <c r="E3765" s="30"/>
      <c r="F3765" s="30"/>
    </row>
    <row r="3766" spans="2:6" hidden="1" x14ac:dyDescent="0.35">
      <c r="B3766" s="28"/>
      <c r="C3766" s="29"/>
      <c r="D3766" s="30"/>
      <c r="E3766" s="30"/>
      <c r="F3766" s="30"/>
    </row>
    <row r="3767" spans="2:6" hidden="1" x14ac:dyDescent="0.35">
      <c r="B3767" s="28"/>
      <c r="C3767" s="29"/>
      <c r="D3767" s="30"/>
      <c r="E3767" s="30"/>
      <c r="F3767" s="30"/>
    </row>
    <row r="3768" spans="2:6" hidden="1" x14ac:dyDescent="0.35">
      <c r="B3768" s="28"/>
      <c r="C3768" s="29"/>
      <c r="D3768" s="30"/>
      <c r="E3768" s="30"/>
      <c r="F3768" s="30"/>
    </row>
    <row r="3769" spans="2:6" hidden="1" x14ac:dyDescent="0.35">
      <c r="B3769" s="28"/>
      <c r="C3769" s="29"/>
      <c r="D3769" s="30"/>
      <c r="E3769" s="30"/>
      <c r="F3769" s="30"/>
    </row>
    <row r="3770" spans="2:6" hidden="1" x14ac:dyDescent="0.35">
      <c r="B3770" s="28"/>
      <c r="C3770" s="29"/>
      <c r="D3770" s="30"/>
      <c r="E3770" s="30"/>
      <c r="F3770" s="30"/>
    </row>
    <row r="3771" spans="2:6" hidden="1" x14ac:dyDescent="0.35">
      <c r="B3771" s="28"/>
      <c r="C3771" s="29"/>
      <c r="D3771" s="30"/>
      <c r="E3771" s="30"/>
      <c r="F3771" s="30"/>
    </row>
    <row r="3772" spans="2:6" hidden="1" x14ac:dyDescent="0.35">
      <c r="B3772" s="28"/>
      <c r="C3772" s="29"/>
      <c r="D3772" s="30"/>
      <c r="E3772" s="30"/>
      <c r="F3772" s="30"/>
    </row>
    <row r="3773" spans="2:6" hidden="1" x14ac:dyDescent="0.35">
      <c r="B3773" s="28"/>
      <c r="C3773" s="29"/>
      <c r="D3773" s="30"/>
      <c r="E3773" s="30"/>
      <c r="F3773" s="30"/>
    </row>
    <row r="3774" spans="2:6" hidden="1" x14ac:dyDescent="0.35">
      <c r="B3774" s="28"/>
      <c r="C3774" s="29"/>
      <c r="D3774" s="30"/>
      <c r="E3774" s="30"/>
      <c r="F3774" s="30"/>
    </row>
    <row r="3775" spans="2:6" hidden="1" x14ac:dyDescent="0.35">
      <c r="B3775" s="28"/>
      <c r="C3775" s="29"/>
      <c r="D3775" s="30"/>
      <c r="E3775" s="30"/>
      <c r="F3775" s="30"/>
    </row>
    <row r="3776" spans="2:6" hidden="1" x14ac:dyDescent="0.35">
      <c r="B3776" s="28"/>
      <c r="C3776" s="29"/>
      <c r="D3776" s="30"/>
      <c r="E3776" s="30"/>
      <c r="F3776" s="30"/>
    </row>
    <row r="3777" spans="2:6" hidden="1" x14ac:dyDescent="0.35">
      <c r="B3777" s="28"/>
      <c r="C3777" s="29"/>
      <c r="D3777" s="30"/>
      <c r="E3777" s="30"/>
      <c r="F3777" s="30"/>
    </row>
    <row r="3778" spans="2:6" hidden="1" x14ac:dyDescent="0.35">
      <c r="B3778" s="28"/>
      <c r="C3778" s="29"/>
      <c r="D3778" s="30"/>
      <c r="E3778" s="30"/>
      <c r="F3778" s="30"/>
    </row>
    <row r="3779" spans="2:6" hidden="1" x14ac:dyDescent="0.35">
      <c r="B3779" s="28"/>
      <c r="C3779" s="29"/>
      <c r="D3779" s="30"/>
      <c r="E3779" s="30"/>
      <c r="F3779" s="30"/>
    </row>
    <row r="3780" spans="2:6" hidden="1" x14ac:dyDescent="0.35">
      <c r="B3780" s="28"/>
      <c r="C3780" s="29"/>
      <c r="D3780" s="30"/>
      <c r="E3780" s="30"/>
      <c r="F3780" s="30"/>
    </row>
    <row r="3781" spans="2:6" hidden="1" x14ac:dyDescent="0.35">
      <c r="B3781" s="28"/>
      <c r="C3781" s="29"/>
      <c r="D3781" s="30"/>
      <c r="E3781" s="30"/>
      <c r="F3781" s="30"/>
    </row>
    <row r="3782" spans="2:6" hidden="1" x14ac:dyDescent="0.35">
      <c r="B3782" s="28"/>
      <c r="C3782" s="29"/>
      <c r="D3782" s="30"/>
      <c r="E3782" s="30"/>
      <c r="F3782" s="30"/>
    </row>
    <row r="3783" spans="2:6" hidden="1" x14ac:dyDescent="0.35">
      <c r="B3783" s="28"/>
      <c r="C3783" s="29"/>
      <c r="D3783" s="30"/>
      <c r="E3783" s="30"/>
      <c r="F3783" s="30"/>
    </row>
    <row r="3784" spans="2:6" hidden="1" x14ac:dyDescent="0.35">
      <c r="B3784" s="28"/>
      <c r="C3784" s="29"/>
      <c r="D3784" s="30"/>
      <c r="E3784" s="30"/>
      <c r="F3784" s="30"/>
    </row>
    <row r="3785" spans="2:6" hidden="1" x14ac:dyDescent="0.35">
      <c r="B3785" s="28"/>
      <c r="C3785" s="29"/>
      <c r="D3785" s="30"/>
      <c r="E3785" s="30"/>
      <c r="F3785" s="30"/>
    </row>
    <row r="3786" spans="2:6" hidden="1" x14ac:dyDescent="0.35">
      <c r="B3786" s="28"/>
      <c r="C3786" s="29"/>
      <c r="D3786" s="30"/>
      <c r="E3786" s="30"/>
      <c r="F3786" s="30"/>
    </row>
    <row r="3787" spans="2:6" hidden="1" x14ac:dyDescent="0.35">
      <c r="B3787" s="28"/>
      <c r="C3787" s="29"/>
      <c r="D3787" s="30"/>
      <c r="E3787" s="30"/>
      <c r="F3787" s="30"/>
    </row>
    <row r="3788" spans="2:6" hidden="1" x14ac:dyDescent="0.35">
      <c r="B3788" s="28"/>
      <c r="C3788" s="29"/>
      <c r="D3788" s="30"/>
      <c r="E3788" s="30"/>
      <c r="F3788" s="30"/>
    </row>
    <row r="3789" spans="2:6" hidden="1" x14ac:dyDescent="0.35">
      <c r="B3789" s="28"/>
      <c r="C3789" s="29"/>
      <c r="D3789" s="30"/>
      <c r="E3789" s="30"/>
      <c r="F3789" s="30"/>
    </row>
    <row r="3790" spans="2:6" hidden="1" x14ac:dyDescent="0.35">
      <c r="B3790" s="28"/>
      <c r="C3790" s="29"/>
      <c r="D3790" s="30"/>
      <c r="E3790" s="30"/>
      <c r="F3790" s="30"/>
    </row>
    <row r="3791" spans="2:6" hidden="1" x14ac:dyDescent="0.35">
      <c r="B3791" s="28"/>
      <c r="C3791" s="29"/>
      <c r="D3791" s="30"/>
      <c r="E3791" s="30"/>
      <c r="F3791" s="30"/>
    </row>
    <row r="3792" spans="2:6" hidden="1" x14ac:dyDescent="0.35">
      <c r="B3792" s="28"/>
      <c r="C3792" s="29"/>
      <c r="D3792" s="30"/>
      <c r="E3792" s="30"/>
      <c r="F3792" s="30"/>
    </row>
    <row r="3793" spans="2:6" hidden="1" x14ac:dyDescent="0.35">
      <c r="B3793" s="28"/>
      <c r="C3793" s="29"/>
      <c r="D3793" s="30"/>
      <c r="E3793" s="30"/>
      <c r="F3793" s="30"/>
    </row>
    <row r="3794" spans="2:6" hidden="1" x14ac:dyDescent="0.35">
      <c r="B3794" s="28"/>
      <c r="C3794" s="29"/>
      <c r="D3794" s="30"/>
      <c r="E3794" s="30"/>
      <c r="F3794" s="30"/>
    </row>
    <row r="3795" spans="2:6" hidden="1" x14ac:dyDescent="0.35">
      <c r="B3795" s="28"/>
      <c r="C3795" s="29"/>
      <c r="D3795" s="30"/>
      <c r="E3795" s="30"/>
      <c r="F3795" s="30"/>
    </row>
    <row r="3796" spans="2:6" hidden="1" x14ac:dyDescent="0.35">
      <c r="B3796" s="28"/>
      <c r="C3796" s="29"/>
      <c r="D3796" s="30"/>
      <c r="E3796" s="30"/>
      <c r="F3796" s="30"/>
    </row>
    <row r="3797" spans="2:6" hidden="1" x14ac:dyDescent="0.35">
      <c r="B3797" s="28"/>
      <c r="C3797" s="29"/>
      <c r="D3797" s="30"/>
      <c r="E3797" s="30"/>
      <c r="F3797" s="30"/>
    </row>
    <row r="3798" spans="2:6" hidden="1" x14ac:dyDescent="0.35">
      <c r="B3798" s="28"/>
      <c r="C3798" s="29"/>
      <c r="D3798" s="30"/>
      <c r="E3798" s="30"/>
      <c r="F3798" s="30"/>
    </row>
    <row r="3799" spans="2:6" hidden="1" x14ac:dyDescent="0.35">
      <c r="B3799" s="28"/>
      <c r="C3799" s="29"/>
      <c r="D3799" s="30"/>
      <c r="E3799" s="30"/>
      <c r="F3799" s="30"/>
    </row>
    <row r="3800" spans="2:6" hidden="1" x14ac:dyDescent="0.35">
      <c r="B3800" s="28"/>
      <c r="C3800" s="29"/>
      <c r="D3800" s="30"/>
      <c r="E3800" s="30"/>
      <c r="F3800" s="30"/>
    </row>
    <row r="3801" spans="2:6" hidden="1" x14ac:dyDescent="0.35">
      <c r="B3801" s="28"/>
      <c r="C3801" s="29"/>
      <c r="D3801" s="30"/>
      <c r="E3801" s="30"/>
      <c r="F3801" s="30"/>
    </row>
    <row r="3802" spans="2:6" hidden="1" x14ac:dyDescent="0.35">
      <c r="B3802" s="28"/>
      <c r="C3802" s="29"/>
      <c r="D3802" s="30"/>
      <c r="E3802" s="30"/>
      <c r="F3802" s="30"/>
    </row>
    <row r="3803" spans="2:6" hidden="1" x14ac:dyDescent="0.35">
      <c r="B3803" s="28"/>
      <c r="C3803" s="29"/>
      <c r="D3803" s="30"/>
      <c r="E3803" s="30"/>
      <c r="F3803" s="30"/>
    </row>
    <row r="3804" spans="2:6" hidden="1" x14ac:dyDescent="0.35">
      <c r="B3804" s="28"/>
      <c r="C3804" s="29"/>
      <c r="D3804" s="30"/>
      <c r="E3804" s="30"/>
      <c r="F3804" s="30"/>
    </row>
    <row r="3805" spans="2:6" hidden="1" x14ac:dyDescent="0.35">
      <c r="B3805" s="28"/>
      <c r="C3805" s="29"/>
      <c r="D3805" s="30"/>
      <c r="E3805" s="30"/>
      <c r="F3805" s="30"/>
    </row>
    <row r="3806" spans="2:6" hidden="1" x14ac:dyDescent="0.35">
      <c r="B3806" s="28"/>
      <c r="C3806" s="29"/>
      <c r="D3806" s="30"/>
      <c r="E3806" s="30"/>
      <c r="F3806" s="30"/>
    </row>
    <row r="3807" spans="2:6" hidden="1" x14ac:dyDescent="0.35">
      <c r="B3807" s="28"/>
      <c r="C3807" s="29"/>
      <c r="D3807" s="30"/>
      <c r="E3807" s="30"/>
      <c r="F3807" s="30"/>
    </row>
    <row r="3808" spans="2:6" hidden="1" x14ac:dyDescent="0.35">
      <c r="B3808" s="28"/>
      <c r="C3808" s="29"/>
      <c r="D3808" s="30"/>
      <c r="E3808" s="30"/>
      <c r="F3808" s="30"/>
    </row>
    <row r="3809" spans="2:6" hidden="1" x14ac:dyDescent="0.35">
      <c r="B3809" s="28"/>
      <c r="C3809" s="29"/>
      <c r="D3809" s="30"/>
      <c r="E3809" s="30"/>
      <c r="F3809" s="30"/>
    </row>
    <row r="3810" spans="2:6" hidden="1" x14ac:dyDescent="0.35">
      <c r="B3810" s="28"/>
      <c r="C3810" s="29"/>
      <c r="D3810" s="30"/>
      <c r="E3810" s="30"/>
      <c r="F3810" s="30"/>
    </row>
    <row r="3811" spans="2:6" hidden="1" x14ac:dyDescent="0.35">
      <c r="B3811" s="28"/>
      <c r="C3811" s="29"/>
      <c r="D3811" s="30"/>
      <c r="E3811" s="30"/>
      <c r="F3811" s="30"/>
    </row>
    <row r="3812" spans="2:6" hidden="1" x14ac:dyDescent="0.35">
      <c r="B3812" s="28"/>
      <c r="C3812" s="29"/>
      <c r="D3812" s="30"/>
      <c r="E3812" s="30"/>
      <c r="F3812" s="30"/>
    </row>
    <row r="3813" spans="2:6" hidden="1" x14ac:dyDescent="0.35">
      <c r="B3813" s="28"/>
      <c r="C3813" s="29"/>
      <c r="D3813" s="30"/>
      <c r="E3813" s="30"/>
      <c r="F3813" s="30"/>
    </row>
    <row r="3814" spans="2:6" hidden="1" x14ac:dyDescent="0.35">
      <c r="B3814" s="28"/>
      <c r="C3814" s="29"/>
      <c r="D3814" s="30"/>
      <c r="E3814" s="30"/>
      <c r="F3814" s="30"/>
    </row>
    <row r="3815" spans="2:6" hidden="1" x14ac:dyDescent="0.35">
      <c r="B3815" s="28"/>
      <c r="C3815" s="29"/>
      <c r="D3815" s="30"/>
      <c r="E3815" s="30"/>
      <c r="F3815" s="30"/>
    </row>
    <row r="3816" spans="2:6" hidden="1" x14ac:dyDescent="0.35">
      <c r="B3816" s="28"/>
      <c r="C3816" s="29"/>
      <c r="D3816" s="30"/>
      <c r="E3816" s="30"/>
      <c r="F3816" s="30"/>
    </row>
    <row r="3817" spans="2:6" hidden="1" x14ac:dyDescent="0.35">
      <c r="B3817" s="28"/>
      <c r="C3817" s="29"/>
      <c r="D3817" s="30"/>
      <c r="E3817" s="30"/>
      <c r="F3817" s="30"/>
    </row>
    <row r="3818" spans="2:6" hidden="1" x14ac:dyDescent="0.35">
      <c r="B3818" s="28"/>
      <c r="C3818" s="29"/>
      <c r="D3818" s="30"/>
      <c r="E3818" s="30"/>
      <c r="F3818" s="30"/>
    </row>
    <row r="3819" spans="2:6" hidden="1" x14ac:dyDescent="0.35">
      <c r="B3819" s="28"/>
      <c r="C3819" s="29"/>
      <c r="D3819" s="30"/>
      <c r="E3819" s="30"/>
      <c r="F3819" s="30"/>
    </row>
    <row r="3820" spans="2:6" hidden="1" x14ac:dyDescent="0.35">
      <c r="B3820" s="28"/>
      <c r="C3820" s="29"/>
      <c r="D3820" s="30"/>
      <c r="E3820" s="30"/>
      <c r="F3820" s="30"/>
    </row>
    <row r="3821" spans="2:6" hidden="1" x14ac:dyDescent="0.35">
      <c r="B3821" s="28"/>
      <c r="C3821" s="29"/>
      <c r="D3821" s="30"/>
      <c r="E3821" s="30"/>
      <c r="F3821" s="30"/>
    </row>
    <row r="3822" spans="2:6" hidden="1" x14ac:dyDescent="0.35">
      <c r="B3822" s="28"/>
      <c r="C3822" s="29"/>
      <c r="D3822" s="30"/>
      <c r="E3822" s="30"/>
      <c r="F3822" s="30"/>
    </row>
    <row r="3823" spans="2:6" hidden="1" x14ac:dyDescent="0.35">
      <c r="B3823" s="28"/>
      <c r="C3823" s="29"/>
      <c r="D3823" s="30"/>
      <c r="E3823" s="30"/>
      <c r="F3823" s="30"/>
    </row>
    <row r="3824" spans="2:6" hidden="1" x14ac:dyDescent="0.35">
      <c r="B3824" s="28"/>
      <c r="C3824" s="29"/>
      <c r="D3824" s="30"/>
      <c r="E3824" s="30"/>
      <c r="F3824" s="30"/>
    </row>
    <row r="3825" spans="2:6" hidden="1" x14ac:dyDescent="0.35">
      <c r="B3825" s="28"/>
      <c r="C3825" s="29"/>
      <c r="D3825" s="30"/>
      <c r="E3825" s="30"/>
      <c r="F3825" s="30"/>
    </row>
    <row r="3826" spans="2:6" hidden="1" x14ac:dyDescent="0.35">
      <c r="B3826" s="28"/>
      <c r="C3826" s="29"/>
      <c r="D3826" s="30"/>
      <c r="E3826" s="30"/>
      <c r="F3826" s="30"/>
    </row>
    <row r="3827" spans="2:6" hidden="1" x14ac:dyDescent="0.35">
      <c r="B3827" s="28"/>
      <c r="C3827" s="29"/>
      <c r="D3827" s="30"/>
      <c r="E3827" s="30"/>
      <c r="F3827" s="30"/>
    </row>
    <row r="3828" spans="2:6" hidden="1" x14ac:dyDescent="0.35">
      <c r="B3828" s="28"/>
      <c r="C3828" s="29"/>
      <c r="D3828" s="30"/>
      <c r="E3828" s="30"/>
      <c r="F3828" s="30"/>
    </row>
    <row r="3829" spans="2:6" hidden="1" x14ac:dyDescent="0.35">
      <c r="B3829" s="28"/>
      <c r="C3829" s="29"/>
      <c r="D3829" s="30"/>
      <c r="E3829" s="30"/>
      <c r="F3829" s="30"/>
    </row>
    <row r="3830" spans="2:6" hidden="1" x14ac:dyDescent="0.35">
      <c r="B3830" s="28"/>
      <c r="C3830" s="29"/>
      <c r="D3830" s="30"/>
      <c r="E3830" s="30"/>
      <c r="F3830" s="30"/>
    </row>
    <row r="3831" spans="2:6" hidden="1" x14ac:dyDescent="0.35">
      <c r="B3831" s="28"/>
      <c r="C3831" s="29"/>
      <c r="D3831" s="30"/>
      <c r="E3831" s="30"/>
      <c r="F3831" s="30"/>
    </row>
    <row r="3832" spans="2:6" hidden="1" x14ac:dyDescent="0.35">
      <c r="B3832" s="28"/>
      <c r="C3832" s="29"/>
      <c r="D3832" s="30"/>
      <c r="E3832" s="30"/>
      <c r="F3832" s="30"/>
    </row>
    <row r="3833" spans="2:6" hidden="1" x14ac:dyDescent="0.35">
      <c r="B3833" s="28"/>
      <c r="C3833" s="29"/>
      <c r="D3833" s="30"/>
      <c r="E3833" s="30"/>
      <c r="F3833" s="30"/>
    </row>
    <row r="3834" spans="2:6" hidden="1" x14ac:dyDescent="0.35">
      <c r="B3834" s="28"/>
      <c r="C3834" s="29"/>
      <c r="D3834" s="30"/>
      <c r="E3834" s="30"/>
      <c r="F3834" s="30"/>
    </row>
    <row r="3835" spans="2:6" hidden="1" x14ac:dyDescent="0.35">
      <c r="B3835" s="28"/>
      <c r="C3835" s="29"/>
      <c r="D3835" s="30"/>
      <c r="E3835" s="30"/>
      <c r="F3835" s="30"/>
    </row>
    <row r="3836" spans="2:6" hidden="1" x14ac:dyDescent="0.35">
      <c r="B3836" s="28"/>
      <c r="C3836" s="29"/>
      <c r="D3836" s="30"/>
      <c r="E3836" s="30"/>
      <c r="F3836" s="30"/>
    </row>
    <row r="3837" spans="2:6" hidden="1" x14ac:dyDescent="0.35">
      <c r="B3837" s="28"/>
      <c r="C3837" s="29"/>
      <c r="D3837" s="30"/>
      <c r="E3837" s="30"/>
      <c r="F3837" s="30"/>
    </row>
    <row r="3838" spans="2:6" hidden="1" x14ac:dyDescent="0.35">
      <c r="B3838" s="28"/>
      <c r="C3838" s="29"/>
      <c r="D3838" s="30"/>
      <c r="E3838" s="30"/>
      <c r="F3838" s="30"/>
    </row>
    <row r="3839" spans="2:6" hidden="1" x14ac:dyDescent="0.35">
      <c r="B3839" s="28"/>
      <c r="C3839" s="29"/>
      <c r="D3839" s="30"/>
      <c r="E3839" s="30"/>
      <c r="F3839" s="30"/>
    </row>
    <row r="3840" spans="2:6" hidden="1" x14ac:dyDescent="0.35">
      <c r="B3840" s="28"/>
      <c r="C3840" s="29"/>
      <c r="D3840" s="30"/>
      <c r="E3840" s="30"/>
      <c r="F3840" s="30"/>
    </row>
    <row r="3841" spans="2:6" hidden="1" x14ac:dyDescent="0.35">
      <c r="B3841" s="28"/>
      <c r="C3841" s="29"/>
      <c r="D3841" s="30"/>
      <c r="E3841" s="30"/>
      <c r="F3841" s="30"/>
    </row>
    <row r="3842" spans="2:6" hidden="1" x14ac:dyDescent="0.35">
      <c r="B3842" s="28"/>
      <c r="C3842" s="29"/>
      <c r="D3842" s="30"/>
      <c r="E3842" s="30"/>
      <c r="F3842" s="30"/>
    </row>
    <row r="3843" spans="2:6" hidden="1" x14ac:dyDescent="0.35">
      <c r="B3843" s="28"/>
      <c r="C3843" s="29"/>
      <c r="D3843" s="30"/>
      <c r="E3843" s="30"/>
      <c r="F3843" s="30"/>
    </row>
    <row r="3844" spans="2:6" hidden="1" x14ac:dyDescent="0.35">
      <c r="B3844" s="28"/>
      <c r="C3844" s="29"/>
      <c r="D3844" s="30"/>
      <c r="E3844" s="30"/>
      <c r="F3844" s="30"/>
    </row>
    <row r="3845" spans="2:6" hidden="1" x14ac:dyDescent="0.35">
      <c r="B3845" s="28"/>
      <c r="C3845" s="29"/>
      <c r="D3845" s="30"/>
      <c r="E3845" s="30"/>
      <c r="F3845" s="30"/>
    </row>
    <row r="3846" spans="2:6" hidden="1" x14ac:dyDescent="0.35">
      <c r="B3846" s="28"/>
      <c r="C3846" s="29"/>
      <c r="D3846" s="30"/>
      <c r="E3846" s="30"/>
      <c r="F3846" s="30"/>
    </row>
    <row r="3847" spans="2:6" hidden="1" x14ac:dyDescent="0.35">
      <c r="B3847" s="28"/>
      <c r="C3847" s="29"/>
      <c r="D3847" s="30"/>
      <c r="E3847" s="30"/>
      <c r="F3847" s="30"/>
    </row>
    <row r="3848" spans="2:6" hidden="1" x14ac:dyDescent="0.35">
      <c r="B3848" s="28"/>
      <c r="C3848" s="29"/>
      <c r="D3848" s="30"/>
      <c r="E3848" s="30"/>
      <c r="F3848" s="30"/>
    </row>
    <row r="3849" spans="2:6" hidden="1" x14ac:dyDescent="0.35">
      <c r="B3849" s="28"/>
      <c r="C3849" s="29"/>
      <c r="D3849" s="30"/>
      <c r="E3849" s="30"/>
      <c r="F3849" s="30"/>
    </row>
    <row r="3850" spans="2:6" hidden="1" x14ac:dyDescent="0.35">
      <c r="B3850" s="28"/>
      <c r="C3850" s="29"/>
      <c r="D3850" s="30"/>
      <c r="E3850" s="30"/>
      <c r="F3850" s="30"/>
    </row>
    <row r="3851" spans="2:6" hidden="1" x14ac:dyDescent="0.35">
      <c r="B3851" s="28"/>
      <c r="C3851" s="29"/>
      <c r="D3851" s="30"/>
      <c r="E3851" s="30"/>
      <c r="F3851" s="30"/>
    </row>
    <row r="3852" spans="2:6" hidden="1" x14ac:dyDescent="0.35">
      <c r="B3852" s="28"/>
      <c r="C3852" s="29"/>
      <c r="D3852" s="30"/>
      <c r="E3852" s="30"/>
      <c r="F3852" s="30"/>
    </row>
    <row r="3853" spans="2:6" hidden="1" x14ac:dyDescent="0.35">
      <c r="B3853" s="28"/>
      <c r="C3853" s="29"/>
      <c r="D3853" s="30"/>
      <c r="E3853" s="30"/>
      <c r="F3853" s="30"/>
    </row>
    <row r="3854" spans="2:6" hidden="1" x14ac:dyDescent="0.35">
      <c r="B3854" s="28"/>
      <c r="C3854" s="29"/>
      <c r="D3854" s="30"/>
      <c r="E3854" s="30"/>
      <c r="F3854" s="30"/>
    </row>
    <row r="3855" spans="2:6" hidden="1" x14ac:dyDescent="0.35">
      <c r="B3855" s="28"/>
      <c r="C3855" s="29"/>
      <c r="D3855" s="30"/>
      <c r="E3855" s="30"/>
      <c r="F3855" s="30"/>
    </row>
    <row r="3856" spans="2:6" hidden="1" x14ac:dyDescent="0.35">
      <c r="B3856" s="28"/>
      <c r="C3856" s="29"/>
      <c r="D3856" s="30"/>
      <c r="E3856" s="30"/>
      <c r="F3856" s="30"/>
    </row>
    <row r="3857" spans="2:6" hidden="1" x14ac:dyDescent="0.35">
      <c r="B3857" s="28"/>
      <c r="C3857" s="29"/>
      <c r="D3857" s="30"/>
      <c r="E3857" s="30"/>
      <c r="F3857" s="30"/>
    </row>
    <row r="3858" spans="2:6" hidden="1" x14ac:dyDescent="0.35">
      <c r="B3858" s="28"/>
      <c r="C3858" s="29"/>
      <c r="D3858" s="30"/>
      <c r="E3858" s="30"/>
      <c r="F3858" s="30"/>
    </row>
    <row r="3859" spans="2:6" hidden="1" x14ac:dyDescent="0.35">
      <c r="B3859" s="28"/>
      <c r="C3859" s="29"/>
      <c r="D3859" s="30"/>
      <c r="E3859" s="30"/>
      <c r="F3859" s="30"/>
    </row>
    <row r="3860" spans="2:6" hidden="1" x14ac:dyDescent="0.35">
      <c r="B3860" s="28"/>
      <c r="C3860" s="29"/>
      <c r="D3860" s="30"/>
      <c r="E3860" s="30"/>
      <c r="F3860" s="30"/>
    </row>
    <row r="3861" spans="2:6" hidden="1" x14ac:dyDescent="0.35">
      <c r="B3861" s="28"/>
      <c r="C3861" s="29"/>
      <c r="D3861" s="30"/>
      <c r="E3861" s="30"/>
      <c r="F3861" s="30"/>
    </row>
    <row r="3862" spans="2:6" hidden="1" x14ac:dyDescent="0.35">
      <c r="B3862" s="28"/>
      <c r="C3862" s="29"/>
      <c r="D3862" s="30"/>
      <c r="E3862" s="30"/>
      <c r="F3862" s="30"/>
    </row>
    <row r="3863" spans="2:6" hidden="1" x14ac:dyDescent="0.35">
      <c r="B3863" s="28"/>
      <c r="C3863" s="29"/>
      <c r="D3863" s="30"/>
      <c r="E3863" s="30"/>
      <c r="F3863" s="30"/>
    </row>
    <row r="3864" spans="2:6" hidden="1" x14ac:dyDescent="0.35">
      <c r="B3864" s="28"/>
      <c r="C3864" s="29"/>
      <c r="D3864" s="30"/>
      <c r="E3864" s="30"/>
      <c r="F3864" s="30"/>
    </row>
    <row r="3865" spans="2:6" hidden="1" x14ac:dyDescent="0.35">
      <c r="B3865" s="28"/>
      <c r="C3865" s="29"/>
      <c r="D3865" s="30"/>
      <c r="E3865" s="30"/>
      <c r="F3865" s="30"/>
    </row>
    <row r="3866" spans="2:6" hidden="1" x14ac:dyDescent="0.35">
      <c r="B3866" s="28"/>
      <c r="C3866" s="29"/>
      <c r="D3866" s="30"/>
      <c r="E3866" s="30"/>
      <c r="F3866" s="30"/>
    </row>
    <row r="3867" spans="2:6" hidden="1" x14ac:dyDescent="0.35">
      <c r="B3867" s="28"/>
      <c r="C3867" s="29"/>
      <c r="D3867" s="30"/>
      <c r="E3867" s="30"/>
      <c r="F3867" s="30"/>
    </row>
    <row r="3868" spans="2:6" hidden="1" x14ac:dyDescent="0.35">
      <c r="B3868" s="28"/>
      <c r="C3868" s="29"/>
      <c r="D3868" s="30"/>
      <c r="E3868" s="30"/>
      <c r="F3868" s="30"/>
    </row>
    <row r="3869" spans="2:6" hidden="1" x14ac:dyDescent="0.35">
      <c r="B3869" s="28"/>
      <c r="C3869" s="29"/>
      <c r="D3869" s="30"/>
      <c r="E3869" s="30"/>
      <c r="F3869" s="30"/>
    </row>
    <row r="3870" spans="2:6" hidden="1" x14ac:dyDescent="0.35">
      <c r="B3870" s="28"/>
      <c r="C3870" s="29"/>
      <c r="D3870" s="30"/>
      <c r="E3870" s="30"/>
      <c r="F3870" s="30"/>
    </row>
    <row r="3871" spans="2:6" hidden="1" x14ac:dyDescent="0.35">
      <c r="B3871" s="28"/>
      <c r="C3871" s="29"/>
      <c r="D3871" s="30"/>
      <c r="E3871" s="30"/>
      <c r="F3871" s="30"/>
    </row>
    <row r="3872" spans="2:6" hidden="1" x14ac:dyDescent="0.35">
      <c r="B3872" s="28"/>
      <c r="C3872" s="29"/>
      <c r="D3872" s="30"/>
      <c r="E3872" s="30"/>
      <c r="F3872" s="30"/>
    </row>
    <row r="3873" spans="2:6" hidden="1" x14ac:dyDescent="0.35">
      <c r="B3873" s="28"/>
      <c r="C3873" s="29"/>
      <c r="D3873" s="30"/>
      <c r="E3873" s="30"/>
      <c r="F3873" s="30"/>
    </row>
    <row r="3874" spans="2:6" hidden="1" x14ac:dyDescent="0.35">
      <c r="B3874" s="28"/>
      <c r="C3874" s="29"/>
      <c r="D3874" s="30"/>
      <c r="E3874" s="30"/>
      <c r="F3874" s="30"/>
    </row>
    <row r="3875" spans="2:6" hidden="1" x14ac:dyDescent="0.35">
      <c r="B3875" s="28"/>
      <c r="C3875" s="29"/>
      <c r="D3875" s="30"/>
      <c r="E3875" s="30"/>
      <c r="F3875" s="30"/>
    </row>
    <row r="3876" spans="2:6" hidden="1" x14ac:dyDescent="0.35">
      <c r="B3876" s="28"/>
      <c r="C3876" s="29"/>
      <c r="D3876" s="30"/>
      <c r="E3876" s="30"/>
      <c r="F3876" s="30"/>
    </row>
    <row r="3877" spans="2:6" hidden="1" x14ac:dyDescent="0.35">
      <c r="B3877" s="28"/>
      <c r="C3877" s="29"/>
      <c r="D3877" s="30"/>
      <c r="E3877" s="30"/>
      <c r="F3877" s="30"/>
    </row>
    <row r="3878" spans="2:6" hidden="1" x14ac:dyDescent="0.35">
      <c r="B3878" s="28"/>
      <c r="C3878" s="29"/>
      <c r="D3878" s="30"/>
      <c r="E3878" s="30"/>
      <c r="F3878" s="30"/>
    </row>
    <row r="3879" spans="2:6" hidden="1" x14ac:dyDescent="0.35">
      <c r="B3879" s="28"/>
      <c r="C3879" s="29"/>
      <c r="D3879" s="30"/>
      <c r="E3879" s="30"/>
      <c r="F3879" s="30"/>
    </row>
    <row r="3880" spans="2:6" hidden="1" x14ac:dyDescent="0.35">
      <c r="B3880" s="28"/>
      <c r="C3880" s="29"/>
      <c r="D3880" s="30"/>
      <c r="E3880" s="30"/>
      <c r="F3880" s="30"/>
    </row>
    <row r="3881" spans="2:6" hidden="1" x14ac:dyDescent="0.35">
      <c r="B3881" s="28"/>
      <c r="C3881" s="29"/>
      <c r="D3881" s="30"/>
      <c r="E3881" s="30"/>
      <c r="F3881" s="30"/>
    </row>
    <row r="3882" spans="2:6" hidden="1" x14ac:dyDescent="0.35">
      <c r="B3882" s="28"/>
      <c r="C3882" s="29"/>
      <c r="D3882" s="30"/>
      <c r="E3882" s="30"/>
      <c r="F3882" s="30"/>
    </row>
    <row r="3883" spans="2:6" hidden="1" x14ac:dyDescent="0.35">
      <c r="B3883" s="28"/>
      <c r="C3883" s="29"/>
      <c r="D3883" s="30"/>
      <c r="E3883" s="30"/>
      <c r="F3883" s="30"/>
    </row>
    <row r="3884" spans="2:6" hidden="1" x14ac:dyDescent="0.35">
      <c r="B3884" s="28"/>
      <c r="C3884" s="29"/>
      <c r="D3884" s="30"/>
      <c r="E3884" s="30"/>
      <c r="F3884" s="30"/>
    </row>
    <row r="3885" spans="2:6" hidden="1" x14ac:dyDescent="0.35">
      <c r="B3885" s="28"/>
      <c r="C3885" s="29"/>
      <c r="D3885" s="30"/>
      <c r="E3885" s="30"/>
      <c r="F3885" s="30"/>
    </row>
    <row r="3886" spans="2:6" hidden="1" x14ac:dyDescent="0.35">
      <c r="B3886" s="28"/>
      <c r="C3886" s="29"/>
      <c r="D3886" s="30"/>
      <c r="E3886" s="30"/>
      <c r="F3886" s="30"/>
    </row>
    <row r="3887" spans="2:6" hidden="1" x14ac:dyDescent="0.35">
      <c r="B3887" s="28"/>
      <c r="C3887" s="29"/>
      <c r="D3887" s="30"/>
      <c r="E3887" s="30"/>
      <c r="F3887" s="30"/>
    </row>
    <row r="3888" spans="2:6" hidden="1" x14ac:dyDescent="0.35">
      <c r="B3888" s="28"/>
      <c r="C3888" s="29"/>
      <c r="D3888" s="30"/>
      <c r="E3888" s="30"/>
      <c r="F3888" s="30"/>
    </row>
    <row r="3889" spans="2:6" hidden="1" x14ac:dyDescent="0.35">
      <c r="B3889" s="28"/>
      <c r="C3889" s="29"/>
      <c r="D3889" s="30"/>
      <c r="E3889" s="30"/>
      <c r="F3889" s="30"/>
    </row>
    <row r="3890" spans="2:6" hidden="1" x14ac:dyDescent="0.35">
      <c r="B3890" s="28"/>
      <c r="C3890" s="29"/>
      <c r="D3890" s="30"/>
      <c r="E3890" s="30"/>
      <c r="F3890" s="30"/>
    </row>
    <row r="3891" spans="2:6" hidden="1" x14ac:dyDescent="0.35">
      <c r="B3891" s="28"/>
      <c r="C3891" s="29"/>
      <c r="D3891" s="30"/>
      <c r="E3891" s="30"/>
      <c r="F3891" s="30"/>
    </row>
    <row r="3892" spans="2:6" hidden="1" x14ac:dyDescent="0.35">
      <c r="B3892" s="28"/>
      <c r="C3892" s="29"/>
      <c r="D3892" s="30"/>
      <c r="E3892" s="30"/>
      <c r="F3892" s="30"/>
    </row>
    <row r="3893" spans="2:6" hidden="1" x14ac:dyDescent="0.35">
      <c r="B3893" s="28"/>
      <c r="C3893" s="29"/>
      <c r="D3893" s="30"/>
      <c r="E3893" s="30"/>
      <c r="F3893" s="30"/>
    </row>
    <row r="3894" spans="2:6" hidden="1" x14ac:dyDescent="0.35">
      <c r="B3894" s="28"/>
      <c r="C3894" s="29"/>
      <c r="D3894" s="30"/>
      <c r="E3894" s="30"/>
      <c r="F3894" s="30"/>
    </row>
    <row r="3895" spans="2:6" hidden="1" x14ac:dyDescent="0.35">
      <c r="B3895" s="28"/>
      <c r="C3895" s="29"/>
      <c r="D3895" s="30"/>
      <c r="E3895" s="30"/>
      <c r="F3895" s="30"/>
    </row>
    <row r="3896" spans="2:6" hidden="1" x14ac:dyDescent="0.35">
      <c r="B3896" s="28"/>
      <c r="C3896" s="29"/>
      <c r="D3896" s="30"/>
      <c r="E3896" s="30"/>
      <c r="F3896" s="30"/>
    </row>
    <row r="3897" spans="2:6" hidden="1" x14ac:dyDescent="0.35">
      <c r="B3897" s="28"/>
      <c r="C3897" s="29"/>
      <c r="D3897" s="30"/>
      <c r="E3897" s="30"/>
      <c r="F3897" s="30"/>
    </row>
    <row r="3898" spans="2:6" hidden="1" x14ac:dyDescent="0.35">
      <c r="B3898" s="28"/>
      <c r="C3898" s="29"/>
      <c r="D3898" s="30"/>
      <c r="E3898" s="30"/>
      <c r="F3898" s="30"/>
    </row>
    <row r="3899" spans="2:6" hidden="1" x14ac:dyDescent="0.35">
      <c r="B3899" s="28"/>
      <c r="C3899" s="29"/>
      <c r="D3899" s="30"/>
      <c r="E3899" s="30"/>
      <c r="F3899" s="30"/>
    </row>
    <row r="3900" spans="2:6" hidden="1" x14ac:dyDescent="0.35">
      <c r="B3900" s="28"/>
      <c r="C3900" s="29"/>
      <c r="D3900" s="30"/>
      <c r="E3900" s="30"/>
      <c r="F3900" s="30"/>
    </row>
    <row r="3901" spans="2:6" hidden="1" x14ac:dyDescent="0.35">
      <c r="B3901" s="28"/>
      <c r="C3901" s="29"/>
      <c r="D3901" s="30"/>
      <c r="E3901" s="30"/>
      <c r="F3901" s="30"/>
    </row>
    <row r="3902" spans="2:6" hidden="1" x14ac:dyDescent="0.35">
      <c r="B3902" s="28"/>
      <c r="C3902" s="29"/>
      <c r="D3902" s="30"/>
      <c r="E3902" s="30"/>
      <c r="F3902" s="30"/>
    </row>
    <row r="3903" spans="2:6" hidden="1" x14ac:dyDescent="0.35">
      <c r="B3903" s="28"/>
      <c r="C3903" s="29"/>
      <c r="D3903" s="30"/>
      <c r="E3903" s="30"/>
      <c r="F3903" s="30"/>
    </row>
    <row r="3904" spans="2:6" hidden="1" x14ac:dyDescent="0.35">
      <c r="B3904" s="28"/>
      <c r="C3904" s="29"/>
      <c r="D3904" s="30"/>
      <c r="E3904" s="30"/>
      <c r="F3904" s="30"/>
    </row>
    <row r="3905" spans="2:6" hidden="1" x14ac:dyDescent="0.35">
      <c r="B3905" s="28"/>
      <c r="C3905" s="29"/>
      <c r="D3905" s="30"/>
      <c r="E3905" s="30"/>
      <c r="F3905" s="30"/>
    </row>
    <row r="3906" spans="2:6" hidden="1" x14ac:dyDescent="0.35">
      <c r="B3906" s="28"/>
      <c r="C3906" s="29"/>
      <c r="D3906" s="30"/>
      <c r="E3906" s="30"/>
      <c r="F3906" s="30"/>
    </row>
    <row r="3907" spans="2:6" hidden="1" x14ac:dyDescent="0.35">
      <c r="B3907" s="28"/>
      <c r="C3907" s="29"/>
      <c r="D3907" s="30"/>
      <c r="E3907" s="30"/>
      <c r="F3907" s="30"/>
    </row>
    <row r="3908" spans="2:6" hidden="1" x14ac:dyDescent="0.35">
      <c r="B3908" s="28"/>
      <c r="C3908" s="29"/>
      <c r="D3908" s="30"/>
      <c r="E3908" s="30"/>
      <c r="F3908" s="30"/>
    </row>
    <row r="3909" spans="2:6" hidden="1" x14ac:dyDescent="0.35">
      <c r="B3909" s="28"/>
      <c r="C3909" s="29"/>
      <c r="D3909" s="30"/>
      <c r="E3909" s="30"/>
      <c r="F3909" s="30"/>
    </row>
    <row r="3910" spans="2:6" hidden="1" x14ac:dyDescent="0.35">
      <c r="B3910" s="28"/>
      <c r="C3910" s="29"/>
      <c r="D3910" s="30"/>
      <c r="E3910" s="30"/>
      <c r="F3910" s="30"/>
    </row>
    <row r="3911" spans="2:6" hidden="1" x14ac:dyDescent="0.35">
      <c r="B3911" s="28"/>
      <c r="C3911" s="29"/>
      <c r="D3911" s="30"/>
      <c r="E3911" s="30"/>
      <c r="F3911" s="30"/>
    </row>
    <row r="3912" spans="2:6" hidden="1" x14ac:dyDescent="0.35">
      <c r="B3912" s="28"/>
      <c r="C3912" s="29"/>
      <c r="D3912" s="30"/>
      <c r="E3912" s="30"/>
      <c r="F3912" s="30"/>
    </row>
    <row r="3913" spans="2:6" hidden="1" x14ac:dyDescent="0.35">
      <c r="B3913" s="28"/>
      <c r="C3913" s="29"/>
      <c r="D3913" s="30"/>
      <c r="E3913" s="30"/>
      <c r="F3913" s="30"/>
    </row>
    <row r="3914" spans="2:6" hidden="1" x14ac:dyDescent="0.35">
      <c r="B3914" s="28"/>
      <c r="C3914" s="29"/>
      <c r="D3914" s="30"/>
      <c r="E3914" s="30"/>
      <c r="F3914" s="30"/>
    </row>
    <row r="3915" spans="2:6" hidden="1" x14ac:dyDescent="0.35">
      <c r="B3915" s="28"/>
      <c r="C3915" s="29"/>
      <c r="D3915" s="30"/>
      <c r="E3915" s="30"/>
      <c r="F3915" s="30"/>
    </row>
    <row r="3916" spans="2:6" hidden="1" x14ac:dyDescent="0.35">
      <c r="B3916" s="28"/>
      <c r="C3916" s="29"/>
      <c r="D3916" s="30"/>
      <c r="E3916" s="30"/>
      <c r="F3916" s="30"/>
    </row>
    <row r="3917" spans="2:6" hidden="1" x14ac:dyDescent="0.35">
      <c r="B3917" s="28"/>
      <c r="C3917" s="29"/>
      <c r="D3917" s="30"/>
      <c r="E3917" s="30"/>
      <c r="F3917" s="30"/>
    </row>
    <row r="3918" spans="2:6" hidden="1" x14ac:dyDescent="0.35">
      <c r="B3918" s="28"/>
      <c r="C3918" s="29"/>
      <c r="D3918" s="30"/>
      <c r="E3918" s="30"/>
      <c r="F3918" s="30"/>
    </row>
    <row r="3919" spans="2:6" hidden="1" x14ac:dyDescent="0.35">
      <c r="B3919" s="28"/>
      <c r="C3919" s="29"/>
      <c r="D3919" s="30"/>
      <c r="E3919" s="30"/>
      <c r="F3919" s="30"/>
    </row>
    <row r="3920" spans="2:6" hidden="1" x14ac:dyDescent="0.35">
      <c r="B3920" s="28"/>
      <c r="C3920" s="29"/>
      <c r="D3920" s="30"/>
      <c r="E3920" s="30"/>
      <c r="F3920" s="30"/>
    </row>
    <row r="3921" spans="2:6" hidden="1" x14ac:dyDescent="0.35">
      <c r="B3921" s="28"/>
      <c r="C3921" s="29"/>
      <c r="D3921" s="30"/>
      <c r="E3921" s="30"/>
      <c r="F3921" s="30"/>
    </row>
    <row r="3922" spans="2:6" hidden="1" x14ac:dyDescent="0.35">
      <c r="B3922" s="28"/>
      <c r="C3922" s="29"/>
      <c r="D3922" s="30"/>
      <c r="E3922" s="30"/>
      <c r="F3922" s="30"/>
    </row>
    <row r="3923" spans="2:6" hidden="1" x14ac:dyDescent="0.35">
      <c r="B3923" s="28"/>
      <c r="C3923" s="29"/>
      <c r="D3923" s="30"/>
      <c r="E3923" s="30"/>
      <c r="F3923" s="30"/>
    </row>
    <row r="3924" spans="2:6" hidden="1" x14ac:dyDescent="0.35">
      <c r="B3924" s="28"/>
      <c r="C3924" s="29"/>
      <c r="D3924" s="30"/>
      <c r="E3924" s="30"/>
      <c r="F3924" s="30"/>
    </row>
    <row r="3925" spans="2:6" hidden="1" x14ac:dyDescent="0.35">
      <c r="B3925" s="28"/>
      <c r="C3925" s="29"/>
      <c r="D3925" s="30"/>
      <c r="E3925" s="30"/>
      <c r="F3925" s="30"/>
    </row>
    <row r="3926" spans="2:6" hidden="1" x14ac:dyDescent="0.35">
      <c r="B3926" s="28"/>
      <c r="C3926" s="29"/>
      <c r="D3926" s="30"/>
      <c r="E3926" s="30"/>
      <c r="F3926" s="30"/>
    </row>
    <row r="3927" spans="2:6" hidden="1" x14ac:dyDescent="0.35">
      <c r="B3927" s="28"/>
      <c r="C3927" s="29"/>
      <c r="D3927" s="30"/>
      <c r="E3927" s="30"/>
      <c r="F3927" s="30"/>
    </row>
    <row r="3928" spans="2:6" hidden="1" x14ac:dyDescent="0.35">
      <c r="B3928" s="28"/>
      <c r="C3928" s="29"/>
      <c r="D3928" s="30"/>
      <c r="E3928" s="30"/>
      <c r="F3928" s="30"/>
    </row>
    <row r="3929" spans="2:6" hidden="1" x14ac:dyDescent="0.35">
      <c r="B3929" s="28"/>
      <c r="C3929" s="29"/>
      <c r="D3929" s="30"/>
      <c r="E3929" s="30"/>
      <c r="F3929" s="30"/>
    </row>
    <row r="3930" spans="2:6" hidden="1" x14ac:dyDescent="0.35">
      <c r="B3930" s="28"/>
      <c r="C3930" s="29"/>
      <c r="D3930" s="30"/>
      <c r="E3930" s="30"/>
      <c r="F3930" s="30"/>
    </row>
    <row r="3931" spans="2:6" hidden="1" x14ac:dyDescent="0.35">
      <c r="B3931" s="28"/>
      <c r="C3931" s="29"/>
      <c r="D3931" s="30"/>
      <c r="E3931" s="30"/>
      <c r="F3931" s="30"/>
    </row>
    <row r="3932" spans="2:6" hidden="1" x14ac:dyDescent="0.35">
      <c r="B3932" s="28"/>
      <c r="C3932" s="29"/>
      <c r="D3932" s="30"/>
      <c r="E3932" s="30"/>
      <c r="F3932" s="30"/>
    </row>
    <row r="3933" spans="2:6" hidden="1" x14ac:dyDescent="0.35">
      <c r="B3933" s="28"/>
      <c r="C3933" s="29"/>
      <c r="D3933" s="30"/>
      <c r="E3933" s="30"/>
      <c r="F3933" s="30"/>
    </row>
    <row r="3934" spans="2:6" hidden="1" x14ac:dyDescent="0.35">
      <c r="B3934" s="28"/>
      <c r="C3934" s="29"/>
      <c r="D3934" s="30"/>
      <c r="E3934" s="30"/>
      <c r="F3934" s="30"/>
    </row>
    <row r="3935" spans="2:6" hidden="1" x14ac:dyDescent="0.35">
      <c r="B3935" s="28"/>
      <c r="C3935" s="29"/>
      <c r="D3935" s="30"/>
      <c r="E3935" s="30"/>
      <c r="F3935" s="30"/>
    </row>
    <row r="3936" spans="2:6" hidden="1" x14ac:dyDescent="0.35">
      <c r="B3936" s="28"/>
      <c r="C3936" s="29"/>
      <c r="D3936" s="30"/>
      <c r="E3936" s="30"/>
      <c r="F3936" s="30"/>
    </row>
    <row r="3937" spans="2:6" hidden="1" x14ac:dyDescent="0.35">
      <c r="B3937" s="28"/>
      <c r="C3937" s="29"/>
      <c r="D3937" s="30"/>
      <c r="E3937" s="30"/>
      <c r="F3937" s="30"/>
    </row>
    <row r="3938" spans="2:6" hidden="1" x14ac:dyDescent="0.35">
      <c r="B3938" s="28"/>
      <c r="C3938" s="29"/>
      <c r="D3938" s="30"/>
      <c r="E3938" s="30"/>
      <c r="F3938" s="30"/>
    </row>
    <row r="3939" spans="2:6" hidden="1" x14ac:dyDescent="0.35">
      <c r="B3939" s="28"/>
      <c r="C3939" s="29"/>
      <c r="D3939" s="30"/>
      <c r="E3939" s="30"/>
      <c r="F3939" s="30"/>
    </row>
    <row r="3940" spans="2:6" hidden="1" x14ac:dyDescent="0.35">
      <c r="B3940" s="28"/>
      <c r="C3940" s="29"/>
      <c r="D3940" s="30"/>
      <c r="E3940" s="30"/>
      <c r="F3940" s="30"/>
    </row>
    <row r="3941" spans="2:6" hidden="1" x14ac:dyDescent="0.35">
      <c r="B3941" s="28"/>
      <c r="C3941" s="29"/>
      <c r="D3941" s="30"/>
      <c r="E3941" s="30"/>
      <c r="F3941" s="30"/>
    </row>
    <row r="3942" spans="2:6" hidden="1" x14ac:dyDescent="0.35">
      <c r="B3942" s="28"/>
      <c r="C3942" s="29"/>
      <c r="D3942" s="30"/>
      <c r="E3942" s="30"/>
      <c r="F3942" s="30"/>
    </row>
    <row r="3943" spans="2:6" hidden="1" x14ac:dyDescent="0.35">
      <c r="B3943" s="28"/>
      <c r="C3943" s="29"/>
      <c r="D3943" s="30"/>
      <c r="E3943" s="30"/>
      <c r="F3943" s="30"/>
    </row>
    <row r="3944" spans="2:6" hidden="1" x14ac:dyDescent="0.35">
      <c r="B3944" s="28"/>
      <c r="C3944" s="29"/>
      <c r="D3944" s="30"/>
      <c r="E3944" s="30"/>
      <c r="F3944" s="30"/>
    </row>
    <row r="3945" spans="2:6" hidden="1" x14ac:dyDescent="0.35">
      <c r="B3945" s="28"/>
      <c r="C3945" s="29"/>
      <c r="D3945" s="30"/>
      <c r="E3945" s="30"/>
      <c r="F3945" s="30"/>
    </row>
    <row r="3946" spans="2:6" hidden="1" x14ac:dyDescent="0.35">
      <c r="B3946" s="28"/>
      <c r="C3946" s="29"/>
      <c r="D3946" s="30"/>
      <c r="E3946" s="30"/>
      <c r="F3946" s="30"/>
    </row>
    <row r="3947" spans="2:6" hidden="1" x14ac:dyDescent="0.35">
      <c r="B3947" s="28"/>
      <c r="C3947" s="29"/>
      <c r="D3947" s="30"/>
      <c r="E3947" s="30"/>
      <c r="F3947" s="30"/>
    </row>
    <row r="3948" spans="2:6" hidden="1" x14ac:dyDescent="0.35">
      <c r="B3948" s="28"/>
      <c r="C3948" s="29"/>
      <c r="D3948" s="30"/>
      <c r="E3948" s="30"/>
      <c r="F3948" s="30"/>
    </row>
    <row r="3949" spans="2:6" hidden="1" x14ac:dyDescent="0.35">
      <c r="B3949" s="28"/>
      <c r="C3949" s="29"/>
      <c r="D3949" s="30"/>
      <c r="E3949" s="30"/>
      <c r="F3949" s="30"/>
    </row>
    <row r="3950" spans="2:6" hidden="1" x14ac:dyDescent="0.35">
      <c r="B3950" s="28"/>
      <c r="C3950" s="29"/>
      <c r="D3950" s="30"/>
      <c r="E3950" s="30"/>
      <c r="F3950" s="30"/>
    </row>
    <row r="3951" spans="2:6" hidden="1" x14ac:dyDescent="0.35">
      <c r="B3951" s="28"/>
      <c r="C3951" s="29"/>
      <c r="D3951" s="30"/>
      <c r="E3951" s="30"/>
      <c r="F3951" s="30"/>
    </row>
    <row r="3952" spans="2:6" hidden="1" x14ac:dyDescent="0.35">
      <c r="B3952" s="28"/>
      <c r="C3952" s="29"/>
      <c r="D3952" s="30"/>
      <c r="E3952" s="30"/>
      <c r="F3952" s="30"/>
    </row>
    <row r="3953" spans="2:6" hidden="1" x14ac:dyDescent="0.35">
      <c r="B3953" s="28"/>
      <c r="C3953" s="29"/>
      <c r="D3953" s="30"/>
      <c r="E3953" s="30"/>
      <c r="F3953" s="30"/>
    </row>
    <row r="3954" spans="2:6" hidden="1" x14ac:dyDescent="0.35">
      <c r="B3954" s="28"/>
      <c r="C3954" s="29"/>
      <c r="D3954" s="30"/>
      <c r="E3954" s="30"/>
      <c r="F3954" s="30"/>
    </row>
    <row r="3955" spans="2:6" hidden="1" x14ac:dyDescent="0.35">
      <c r="B3955" s="28"/>
      <c r="C3955" s="29"/>
      <c r="D3955" s="30"/>
      <c r="E3955" s="30"/>
      <c r="F3955" s="30"/>
    </row>
    <row r="3956" spans="2:6" hidden="1" x14ac:dyDescent="0.35">
      <c r="B3956" s="28"/>
      <c r="C3956" s="29"/>
      <c r="D3956" s="30"/>
      <c r="E3956" s="30"/>
      <c r="F3956" s="30"/>
    </row>
    <row r="3957" spans="2:6" hidden="1" x14ac:dyDescent="0.35">
      <c r="B3957" s="28"/>
      <c r="C3957" s="29"/>
      <c r="D3957" s="30"/>
      <c r="E3957" s="30"/>
      <c r="F3957" s="30"/>
    </row>
    <row r="3958" spans="2:6" ht="15.5" hidden="1" thickBot="1" x14ac:dyDescent="0.4">
      <c r="B3958" s="28"/>
      <c r="C3958" s="29"/>
      <c r="D3958" s="30"/>
      <c r="E3958" s="31"/>
      <c r="F3958" s="31"/>
    </row>
    <row r="3959" spans="2:6" hidden="1" x14ac:dyDescent="0.35">
      <c r="B3959" s="28"/>
      <c r="C3959" s="29"/>
    </row>
    <row r="3960" spans="2:6" hidden="1" x14ac:dyDescent="0.35">
      <c r="B3960" s="28"/>
      <c r="C3960" s="29"/>
    </row>
    <row r="3961" spans="2:6" hidden="1" x14ac:dyDescent="0.35">
      <c r="B3961" s="28"/>
      <c r="C3961" s="29"/>
    </row>
    <row r="3962" spans="2:6" hidden="1" x14ac:dyDescent="0.35">
      <c r="B3962" s="28"/>
      <c r="C3962" s="29"/>
    </row>
    <row r="3963" spans="2:6" hidden="1" x14ac:dyDescent="0.35">
      <c r="B3963" s="28"/>
      <c r="C3963" s="29"/>
    </row>
    <row r="3964" spans="2:6" hidden="1" x14ac:dyDescent="0.35">
      <c r="B3964" s="28"/>
      <c r="C3964" s="29"/>
    </row>
    <row r="3965" spans="2:6" hidden="1" x14ac:dyDescent="0.35">
      <c r="B3965" s="28"/>
      <c r="C3965" s="29"/>
    </row>
    <row r="3966" spans="2:6" hidden="1" x14ac:dyDescent="0.35">
      <c r="B3966" s="28"/>
      <c r="C3966" s="29"/>
    </row>
    <row r="3967" spans="2:6" hidden="1" x14ac:dyDescent="0.35">
      <c r="B3967" s="28"/>
      <c r="C3967" s="29"/>
    </row>
    <row r="3968" spans="2:6" hidden="1" x14ac:dyDescent="0.35">
      <c r="B3968" s="28"/>
      <c r="C3968" s="29"/>
    </row>
    <row r="3969" spans="2:3" hidden="1" x14ac:dyDescent="0.35">
      <c r="B3969" s="28"/>
      <c r="C3969" s="29"/>
    </row>
    <row r="3970" spans="2:3" hidden="1" x14ac:dyDescent="0.35">
      <c r="B3970" s="28"/>
      <c r="C3970" s="29"/>
    </row>
    <row r="3971" spans="2:3" hidden="1" x14ac:dyDescent="0.35">
      <c r="B3971" s="28"/>
      <c r="C3971" s="29"/>
    </row>
    <row r="3972" spans="2:3" hidden="1" x14ac:dyDescent="0.35">
      <c r="B3972" s="28"/>
      <c r="C3972" s="29"/>
    </row>
    <row r="3973" spans="2:3" hidden="1" x14ac:dyDescent="0.35">
      <c r="B3973" s="28"/>
      <c r="C3973" s="29"/>
    </row>
    <row r="3974" spans="2:3" hidden="1" x14ac:dyDescent="0.35">
      <c r="B3974" s="28"/>
      <c r="C3974" s="29"/>
    </row>
    <row r="3975" spans="2:3" hidden="1" x14ac:dyDescent="0.35">
      <c r="B3975" s="28"/>
      <c r="C3975" s="29"/>
    </row>
    <row r="3976" spans="2:3" hidden="1" x14ac:dyDescent="0.35">
      <c r="B3976" s="28"/>
      <c r="C3976" s="29"/>
    </row>
    <row r="3977" spans="2:3" hidden="1" x14ac:dyDescent="0.35">
      <c r="B3977" s="28"/>
      <c r="C3977" s="29"/>
    </row>
    <row r="3978" spans="2:3" hidden="1" x14ac:dyDescent="0.35">
      <c r="B3978" s="28"/>
      <c r="C3978" s="29"/>
    </row>
    <row r="3979" spans="2:3" hidden="1" x14ac:dyDescent="0.35">
      <c r="B3979" s="28"/>
      <c r="C3979" s="29"/>
    </row>
    <row r="3980" spans="2:3" hidden="1" x14ac:dyDescent="0.35">
      <c r="B3980" s="28"/>
      <c r="C3980" s="29"/>
    </row>
    <row r="3981" spans="2:3" hidden="1" x14ac:dyDescent="0.35">
      <c r="B3981" s="28"/>
      <c r="C3981" s="29"/>
    </row>
    <row r="3982" spans="2:3" hidden="1" x14ac:dyDescent="0.35">
      <c r="B3982" s="28"/>
      <c r="C3982" s="29"/>
    </row>
    <row r="3983" spans="2:3" hidden="1" x14ac:dyDescent="0.35">
      <c r="B3983" s="28"/>
      <c r="C3983" s="29"/>
    </row>
    <row r="3984" spans="2:3" hidden="1" x14ac:dyDescent="0.35">
      <c r="B3984" s="28"/>
      <c r="C3984" s="29"/>
    </row>
    <row r="3985" spans="2:3" hidden="1" x14ac:dyDescent="0.35">
      <c r="B3985" s="28"/>
      <c r="C3985" s="29"/>
    </row>
    <row r="3986" spans="2:3" hidden="1" x14ac:dyDescent="0.35">
      <c r="B3986" s="28"/>
      <c r="C3986" s="29"/>
    </row>
    <row r="3987" spans="2:3" hidden="1" x14ac:dyDescent="0.35">
      <c r="B3987" s="28"/>
      <c r="C3987" s="29"/>
    </row>
    <row r="3988" spans="2:3" hidden="1" x14ac:dyDescent="0.35">
      <c r="B3988" s="28"/>
      <c r="C3988" s="29"/>
    </row>
    <row r="3989" spans="2:3" hidden="1" x14ac:dyDescent="0.35">
      <c r="B3989" s="28"/>
      <c r="C3989" s="29"/>
    </row>
    <row r="3990" spans="2:3" hidden="1" x14ac:dyDescent="0.35">
      <c r="B3990" s="28"/>
      <c r="C3990" s="29"/>
    </row>
    <row r="3991" spans="2:3" hidden="1" x14ac:dyDescent="0.35">
      <c r="B3991" s="28"/>
      <c r="C3991" s="29"/>
    </row>
    <row r="3992" spans="2:3" hidden="1" x14ac:dyDescent="0.35">
      <c r="B3992" s="28"/>
      <c r="C3992" s="29"/>
    </row>
    <row r="3993" spans="2:3" hidden="1" x14ac:dyDescent="0.35">
      <c r="B3993" s="28"/>
      <c r="C3993" s="29"/>
    </row>
    <row r="3994" spans="2:3" hidden="1" x14ac:dyDescent="0.35">
      <c r="B3994" s="28"/>
      <c r="C3994" s="29"/>
    </row>
    <row r="3995" spans="2:3" hidden="1" x14ac:dyDescent="0.35">
      <c r="B3995" s="28"/>
      <c r="C3995" s="29"/>
    </row>
    <row r="3996" spans="2:3" hidden="1" x14ac:dyDescent="0.35">
      <c r="B3996" s="28"/>
      <c r="C3996" s="29"/>
    </row>
    <row r="3997" spans="2:3" hidden="1" x14ac:dyDescent="0.35">
      <c r="B3997" s="28"/>
      <c r="C3997" s="29"/>
    </row>
    <row r="3998" spans="2:3" hidden="1" x14ac:dyDescent="0.35">
      <c r="B3998" s="28"/>
      <c r="C3998" s="29"/>
    </row>
    <row r="3999" spans="2:3" hidden="1" x14ac:dyDescent="0.35">
      <c r="B3999" s="28"/>
      <c r="C3999" s="29"/>
    </row>
    <row r="4000" spans="2:3" hidden="1" x14ac:dyDescent="0.35">
      <c r="B4000" s="28"/>
      <c r="C4000" s="29"/>
    </row>
    <row r="4001" spans="2:3" hidden="1" x14ac:dyDescent="0.35">
      <c r="B4001" s="28"/>
      <c r="C4001" s="29"/>
    </row>
    <row r="4002" spans="2:3" hidden="1" x14ac:dyDescent="0.35">
      <c r="B4002" s="28"/>
      <c r="C4002" s="29"/>
    </row>
    <row r="4003" spans="2:3" hidden="1" x14ac:dyDescent="0.35">
      <c r="B4003" s="28"/>
      <c r="C4003" s="29"/>
    </row>
    <row r="4004" spans="2:3" hidden="1" x14ac:dyDescent="0.35">
      <c r="B4004" s="28"/>
      <c r="C4004" s="29"/>
    </row>
    <row r="4005" spans="2:3" hidden="1" x14ac:dyDescent="0.35">
      <c r="B4005" s="28"/>
      <c r="C4005" s="29"/>
    </row>
    <row r="4006" spans="2:3" hidden="1" x14ac:dyDescent="0.35">
      <c r="B4006" s="28"/>
      <c r="C4006" s="29"/>
    </row>
    <row r="4007" spans="2:3" hidden="1" x14ac:dyDescent="0.35">
      <c r="B4007" s="28"/>
      <c r="C4007" s="29"/>
    </row>
    <row r="4008" spans="2:3" hidden="1" x14ac:dyDescent="0.35">
      <c r="B4008" s="28"/>
      <c r="C4008" s="29"/>
    </row>
    <row r="4009" spans="2:3" hidden="1" x14ac:dyDescent="0.35">
      <c r="B4009" s="28"/>
      <c r="C4009" s="29"/>
    </row>
    <row r="4010" spans="2:3" hidden="1" x14ac:dyDescent="0.35">
      <c r="B4010" s="28"/>
      <c r="C4010" s="29"/>
    </row>
    <row r="4011" spans="2:3" hidden="1" x14ac:dyDescent="0.35">
      <c r="B4011" s="28"/>
      <c r="C4011" s="29"/>
    </row>
    <row r="4012" spans="2:3" hidden="1" x14ac:dyDescent="0.35">
      <c r="B4012" s="28"/>
      <c r="C4012" s="29"/>
    </row>
    <row r="4013" spans="2:3" hidden="1" x14ac:dyDescent="0.35">
      <c r="B4013" s="28"/>
      <c r="C4013" s="29"/>
    </row>
    <row r="4014" spans="2:3" hidden="1" x14ac:dyDescent="0.35">
      <c r="B4014" s="28"/>
      <c r="C4014" s="29"/>
    </row>
    <row r="4015" spans="2:3" hidden="1" x14ac:dyDescent="0.35">
      <c r="B4015" s="28"/>
      <c r="C4015" s="29"/>
    </row>
    <row r="4016" spans="2:3" hidden="1" x14ac:dyDescent="0.35">
      <c r="B4016" s="28"/>
      <c r="C4016" s="29"/>
    </row>
    <row r="4017" spans="2:3" hidden="1" x14ac:dyDescent="0.35">
      <c r="B4017" s="28"/>
      <c r="C4017" s="29"/>
    </row>
    <row r="4018" spans="2:3" hidden="1" x14ac:dyDescent="0.35">
      <c r="B4018" s="28"/>
      <c r="C4018" s="29"/>
    </row>
    <row r="4019" spans="2:3" hidden="1" x14ac:dyDescent="0.35">
      <c r="B4019" s="28"/>
      <c r="C4019" s="29"/>
    </row>
    <row r="4020" spans="2:3" hidden="1" x14ac:dyDescent="0.35">
      <c r="B4020" s="28"/>
      <c r="C4020" s="29"/>
    </row>
    <row r="4021" spans="2:3" hidden="1" x14ac:dyDescent="0.35">
      <c r="B4021" s="28"/>
      <c r="C4021" s="29"/>
    </row>
    <row r="4022" spans="2:3" hidden="1" x14ac:dyDescent="0.35">
      <c r="B4022" s="28"/>
      <c r="C4022" s="29"/>
    </row>
    <row r="4023" spans="2:3" hidden="1" x14ac:dyDescent="0.35">
      <c r="B4023" s="28"/>
      <c r="C4023" s="29"/>
    </row>
    <row r="4024" spans="2:3" hidden="1" x14ac:dyDescent="0.35">
      <c r="B4024" s="28"/>
      <c r="C4024" s="29"/>
    </row>
    <row r="4025" spans="2:3" hidden="1" x14ac:dyDescent="0.35">
      <c r="B4025" s="28"/>
      <c r="C4025" s="29"/>
    </row>
    <row r="4026" spans="2:3" hidden="1" x14ac:dyDescent="0.35">
      <c r="B4026" s="28"/>
      <c r="C4026" s="29"/>
    </row>
    <row r="4027" spans="2:3" ht="15.5" hidden="1" thickBot="1" x14ac:dyDescent="0.4">
      <c r="B4027" s="28"/>
      <c r="C4027" s="32"/>
    </row>
    <row r="4028" spans="2:3" hidden="1" x14ac:dyDescent="0.35">
      <c r="B4028" s="29"/>
    </row>
    <row r="4029" spans="2:3" hidden="1" x14ac:dyDescent="0.35">
      <c r="B4029" s="29"/>
    </row>
    <row r="4030" spans="2:3" hidden="1" x14ac:dyDescent="0.35">
      <c r="B4030" s="29"/>
    </row>
    <row r="4031" spans="2:3" hidden="1" x14ac:dyDescent="0.35">
      <c r="B4031" s="29"/>
    </row>
    <row r="4032" spans="2:3" hidden="1" x14ac:dyDescent="0.35">
      <c r="B4032" s="29"/>
    </row>
    <row r="4033" spans="2:2" hidden="1" x14ac:dyDescent="0.35">
      <c r="B4033" s="29"/>
    </row>
    <row r="4034" spans="2:2" hidden="1" x14ac:dyDescent="0.35">
      <c r="B4034" s="29"/>
    </row>
    <row r="4035" spans="2:2" hidden="1" x14ac:dyDescent="0.35">
      <c r="B4035" s="29"/>
    </row>
    <row r="4036" spans="2:2" hidden="1" x14ac:dyDescent="0.35">
      <c r="B4036" s="29"/>
    </row>
    <row r="4037" spans="2:2" hidden="1" x14ac:dyDescent="0.35">
      <c r="B4037" s="29"/>
    </row>
    <row r="4038" spans="2:2" hidden="1" x14ac:dyDescent="0.35">
      <c r="B4038" s="29"/>
    </row>
    <row r="4039" spans="2:2" hidden="1" x14ac:dyDescent="0.35">
      <c r="B4039" s="29"/>
    </row>
    <row r="4040" spans="2:2" hidden="1" x14ac:dyDescent="0.35">
      <c r="B4040" s="29"/>
    </row>
    <row r="4041" spans="2:2" hidden="1" x14ac:dyDescent="0.35">
      <c r="B4041" s="29"/>
    </row>
    <row r="4042" spans="2:2" hidden="1" x14ac:dyDescent="0.35">
      <c r="B4042" s="29"/>
    </row>
    <row r="4043" spans="2:2" hidden="1" x14ac:dyDescent="0.35">
      <c r="B4043" s="29"/>
    </row>
    <row r="4044" spans="2:2" hidden="1" x14ac:dyDescent="0.35">
      <c r="B4044" s="29"/>
    </row>
    <row r="4045" spans="2:2" hidden="1" x14ac:dyDescent="0.35">
      <c r="B4045" s="29"/>
    </row>
    <row r="4046" spans="2:2" hidden="1" x14ac:dyDescent="0.35">
      <c r="B4046" s="29"/>
    </row>
    <row r="4047" spans="2:2" hidden="1" x14ac:dyDescent="0.35">
      <c r="B4047" s="29"/>
    </row>
    <row r="4048" spans="2:2" hidden="1" x14ac:dyDescent="0.35">
      <c r="B4048" s="29"/>
    </row>
    <row r="4049" spans="2:2" hidden="1" x14ac:dyDescent="0.35">
      <c r="B4049" s="29"/>
    </row>
    <row r="4050" spans="2:2" hidden="1" x14ac:dyDescent="0.35">
      <c r="B4050" s="29"/>
    </row>
    <row r="4051" spans="2:2" hidden="1" x14ac:dyDescent="0.35">
      <c r="B4051" s="29"/>
    </row>
    <row r="4052" spans="2:2" hidden="1" x14ac:dyDescent="0.35">
      <c r="B4052" s="29"/>
    </row>
    <row r="4053" spans="2:2" hidden="1" x14ac:dyDescent="0.35">
      <c r="B4053" s="29"/>
    </row>
    <row r="4054" spans="2:2" hidden="1" x14ac:dyDescent="0.35">
      <c r="B4054" s="29"/>
    </row>
    <row r="4055" spans="2:2" hidden="1" x14ac:dyDescent="0.35">
      <c r="B4055" s="29"/>
    </row>
    <row r="4056" spans="2:2" hidden="1" x14ac:dyDescent="0.35">
      <c r="B4056" s="29"/>
    </row>
    <row r="4057" spans="2:2" hidden="1" x14ac:dyDescent="0.35">
      <c r="B4057" s="29"/>
    </row>
    <row r="4058" spans="2:2" hidden="1" x14ac:dyDescent="0.35">
      <c r="B4058" s="29"/>
    </row>
    <row r="4059" spans="2:2" hidden="1" x14ac:dyDescent="0.35">
      <c r="B4059" s="29"/>
    </row>
    <row r="4060" spans="2:2" hidden="1" x14ac:dyDescent="0.35">
      <c r="B4060" s="29"/>
    </row>
    <row r="4061" spans="2:2" hidden="1" x14ac:dyDescent="0.35">
      <c r="B4061" s="29"/>
    </row>
    <row r="4062" spans="2:2" hidden="1" x14ac:dyDescent="0.35">
      <c r="B4062" s="29"/>
    </row>
    <row r="4063" spans="2:2" hidden="1" x14ac:dyDescent="0.35">
      <c r="B4063" s="29"/>
    </row>
    <row r="4064" spans="2:2" hidden="1" x14ac:dyDescent="0.35">
      <c r="B4064" s="29"/>
    </row>
    <row r="4065" spans="2:2" hidden="1" x14ac:dyDescent="0.35">
      <c r="B4065" s="29"/>
    </row>
    <row r="4066" spans="2:2" hidden="1" x14ac:dyDescent="0.35">
      <c r="B4066" s="29"/>
    </row>
    <row r="4067" spans="2:2" hidden="1" x14ac:dyDescent="0.35">
      <c r="B4067" s="29"/>
    </row>
    <row r="4068" spans="2:2" hidden="1" x14ac:dyDescent="0.35">
      <c r="B4068" s="29"/>
    </row>
    <row r="4069" spans="2:2" hidden="1" x14ac:dyDescent="0.35">
      <c r="B4069" s="29"/>
    </row>
    <row r="4070" spans="2:2" hidden="1" x14ac:dyDescent="0.35">
      <c r="B4070" s="29"/>
    </row>
    <row r="4071" spans="2:2" hidden="1" x14ac:dyDescent="0.35">
      <c r="B4071" s="29"/>
    </row>
    <row r="4072" spans="2:2" hidden="1" x14ac:dyDescent="0.35">
      <c r="B4072" s="29"/>
    </row>
    <row r="4073" spans="2:2" hidden="1" x14ac:dyDescent="0.35">
      <c r="B4073" s="29"/>
    </row>
    <row r="4074" spans="2:2" hidden="1" x14ac:dyDescent="0.35">
      <c r="B4074" s="29"/>
    </row>
    <row r="4075" spans="2:2" hidden="1" x14ac:dyDescent="0.35">
      <c r="B4075" s="29"/>
    </row>
    <row r="4076" spans="2:2" hidden="1" x14ac:dyDescent="0.35">
      <c r="B4076" s="29"/>
    </row>
    <row r="4077" spans="2:2" hidden="1" x14ac:dyDescent="0.35">
      <c r="B4077" s="29"/>
    </row>
    <row r="4078" spans="2:2" hidden="1" x14ac:dyDescent="0.35">
      <c r="B4078" s="29"/>
    </row>
    <row r="4079" spans="2:2" hidden="1" x14ac:dyDescent="0.35">
      <c r="B4079" s="29"/>
    </row>
    <row r="4080" spans="2:2" hidden="1" x14ac:dyDescent="0.35">
      <c r="B4080" s="29"/>
    </row>
    <row r="4081" spans="2:2" hidden="1" x14ac:dyDescent="0.35">
      <c r="B4081" s="29"/>
    </row>
    <row r="4082" spans="2:2" hidden="1" x14ac:dyDescent="0.35">
      <c r="B4082" s="29"/>
    </row>
    <row r="4083" spans="2:2" hidden="1" x14ac:dyDescent="0.35">
      <c r="B4083" s="29"/>
    </row>
    <row r="4084" spans="2:2" hidden="1" x14ac:dyDescent="0.35">
      <c r="B4084" s="29"/>
    </row>
    <row r="4085" spans="2:2" hidden="1" x14ac:dyDescent="0.35">
      <c r="B4085" s="29"/>
    </row>
    <row r="4086" spans="2:2" hidden="1" x14ac:dyDescent="0.35">
      <c r="B4086" s="29"/>
    </row>
    <row r="4087" spans="2:2" hidden="1" x14ac:dyDescent="0.35">
      <c r="B4087" s="29"/>
    </row>
    <row r="4088" spans="2:2" hidden="1" x14ac:dyDescent="0.35">
      <c r="B4088" s="29"/>
    </row>
    <row r="4089" spans="2:2" hidden="1" x14ac:dyDescent="0.35">
      <c r="B4089" s="29"/>
    </row>
    <row r="4090" spans="2:2" hidden="1" x14ac:dyDescent="0.35">
      <c r="B4090" s="29"/>
    </row>
    <row r="4091" spans="2:2" hidden="1" x14ac:dyDescent="0.35">
      <c r="B4091" s="29"/>
    </row>
    <row r="4092" spans="2:2" hidden="1" x14ac:dyDescent="0.35">
      <c r="B4092" s="29"/>
    </row>
    <row r="4093" spans="2:2" hidden="1" x14ac:dyDescent="0.35">
      <c r="B4093" s="29"/>
    </row>
    <row r="4094" spans="2:2" hidden="1" x14ac:dyDescent="0.35">
      <c r="B4094" s="29"/>
    </row>
    <row r="4095" spans="2:2" hidden="1" x14ac:dyDescent="0.35">
      <c r="B4095" s="29"/>
    </row>
    <row r="4096" spans="2:2" hidden="1" x14ac:dyDescent="0.35">
      <c r="B4096" s="29"/>
    </row>
    <row r="4097" spans="2:2" hidden="1" x14ac:dyDescent="0.35">
      <c r="B4097" s="29"/>
    </row>
    <row r="4098" spans="2:2" hidden="1" x14ac:dyDescent="0.35">
      <c r="B4098" s="29"/>
    </row>
    <row r="4099" spans="2:2" hidden="1" x14ac:dyDescent="0.35">
      <c r="B4099" s="29"/>
    </row>
    <row r="4100" spans="2:2" hidden="1" x14ac:dyDescent="0.35">
      <c r="B4100" s="29"/>
    </row>
    <row r="4101" spans="2:2" hidden="1" x14ac:dyDescent="0.35">
      <c r="B4101" s="29"/>
    </row>
    <row r="4102" spans="2:2" hidden="1" x14ac:dyDescent="0.35">
      <c r="B4102" s="29"/>
    </row>
    <row r="4103" spans="2:2" hidden="1" x14ac:dyDescent="0.35">
      <c r="B4103" s="29"/>
    </row>
    <row r="4104" spans="2:2" hidden="1" x14ac:dyDescent="0.35">
      <c r="B4104" s="29"/>
    </row>
    <row r="4105" spans="2:2" hidden="1" x14ac:dyDescent="0.35">
      <c r="B4105" s="29"/>
    </row>
    <row r="4106" spans="2:2" hidden="1" x14ac:dyDescent="0.35">
      <c r="B4106" s="29"/>
    </row>
    <row r="4107" spans="2:2" hidden="1" x14ac:dyDescent="0.35">
      <c r="B4107" s="29"/>
    </row>
    <row r="4108" spans="2:2" hidden="1" x14ac:dyDescent="0.35">
      <c r="B4108" s="29"/>
    </row>
    <row r="4109" spans="2:2" hidden="1" x14ac:dyDescent="0.35">
      <c r="B4109" s="29"/>
    </row>
    <row r="4110" spans="2:2" hidden="1" x14ac:dyDescent="0.35">
      <c r="B4110" s="29"/>
    </row>
    <row r="4111" spans="2:2" hidden="1" x14ac:dyDescent="0.35">
      <c r="B4111" s="29"/>
    </row>
    <row r="4112" spans="2:2" hidden="1" x14ac:dyDescent="0.35">
      <c r="B4112" s="29"/>
    </row>
    <row r="4113" spans="2:2" hidden="1" x14ac:dyDescent="0.35">
      <c r="B4113" s="29"/>
    </row>
    <row r="4114" spans="2:2" hidden="1" x14ac:dyDescent="0.35">
      <c r="B4114" s="29"/>
    </row>
    <row r="4115" spans="2:2" hidden="1" x14ac:dyDescent="0.35">
      <c r="B4115" s="29"/>
    </row>
    <row r="4116" spans="2:2" hidden="1" x14ac:dyDescent="0.35">
      <c r="B4116" s="29"/>
    </row>
    <row r="4117" spans="2:2" hidden="1" x14ac:dyDescent="0.35">
      <c r="B4117" s="29"/>
    </row>
    <row r="4118" spans="2:2" hidden="1" x14ac:dyDescent="0.35">
      <c r="B4118" s="29"/>
    </row>
    <row r="4119" spans="2:2" hidden="1" x14ac:dyDescent="0.35">
      <c r="B4119" s="29"/>
    </row>
    <row r="4120" spans="2:2" hidden="1" x14ac:dyDescent="0.35">
      <c r="B4120" s="29"/>
    </row>
    <row r="4121" spans="2:2" hidden="1" x14ac:dyDescent="0.35">
      <c r="B4121" s="29"/>
    </row>
    <row r="4122" spans="2:2" hidden="1" x14ac:dyDescent="0.35">
      <c r="B4122" s="29"/>
    </row>
    <row r="4123" spans="2:2" hidden="1" x14ac:dyDescent="0.35">
      <c r="B4123" s="29"/>
    </row>
    <row r="4124" spans="2:2" hidden="1" x14ac:dyDescent="0.35">
      <c r="B4124" s="29"/>
    </row>
    <row r="4125" spans="2:2" hidden="1" x14ac:dyDescent="0.35">
      <c r="B4125" s="29"/>
    </row>
    <row r="4126" spans="2:2" hidden="1" x14ac:dyDescent="0.35">
      <c r="B4126" s="29"/>
    </row>
    <row r="4127" spans="2:2" hidden="1" x14ac:dyDescent="0.35">
      <c r="B4127" s="29"/>
    </row>
    <row r="4128" spans="2:2" hidden="1" x14ac:dyDescent="0.35">
      <c r="B4128" s="29"/>
    </row>
    <row r="4129" spans="2:2" hidden="1" x14ac:dyDescent="0.35">
      <c r="B4129" s="29"/>
    </row>
    <row r="4130" spans="2:2" hidden="1" x14ac:dyDescent="0.35">
      <c r="B4130" s="29"/>
    </row>
    <row r="4131" spans="2:2" hidden="1" x14ac:dyDescent="0.35">
      <c r="B4131" s="29"/>
    </row>
    <row r="4132" spans="2:2" hidden="1" x14ac:dyDescent="0.35">
      <c r="B4132" s="29"/>
    </row>
    <row r="4133" spans="2:2" hidden="1" x14ac:dyDescent="0.35">
      <c r="B4133" s="29"/>
    </row>
    <row r="4134" spans="2:2" hidden="1" x14ac:dyDescent="0.35">
      <c r="B4134" s="29"/>
    </row>
    <row r="4135" spans="2:2" hidden="1" x14ac:dyDescent="0.35">
      <c r="B4135" s="29"/>
    </row>
    <row r="4136" spans="2:2" hidden="1" x14ac:dyDescent="0.35">
      <c r="B4136" s="29"/>
    </row>
    <row r="4137" spans="2:2" hidden="1" x14ac:dyDescent="0.35">
      <c r="B4137" s="29"/>
    </row>
    <row r="4138" spans="2:2" hidden="1" x14ac:dyDescent="0.35">
      <c r="B4138" s="29"/>
    </row>
    <row r="4139" spans="2:2" hidden="1" x14ac:dyDescent="0.35">
      <c r="B4139" s="29"/>
    </row>
    <row r="4140" spans="2:2" hidden="1" x14ac:dyDescent="0.35">
      <c r="B4140" s="29"/>
    </row>
    <row r="4141" spans="2:2" hidden="1" x14ac:dyDescent="0.35">
      <c r="B4141" s="29"/>
    </row>
    <row r="4142" spans="2:2" hidden="1" x14ac:dyDescent="0.35">
      <c r="B4142" s="29"/>
    </row>
    <row r="4143" spans="2:2" hidden="1" x14ac:dyDescent="0.35">
      <c r="B4143" s="29"/>
    </row>
    <row r="4144" spans="2:2" hidden="1" x14ac:dyDescent="0.35">
      <c r="B4144" s="29"/>
    </row>
    <row r="4145" spans="2:2" hidden="1" x14ac:dyDescent="0.35">
      <c r="B4145" s="29"/>
    </row>
    <row r="4146" spans="2:2" hidden="1" x14ac:dyDescent="0.35">
      <c r="B4146" s="29"/>
    </row>
    <row r="4147" spans="2:2" hidden="1" x14ac:dyDescent="0.35">
      <c r="B4147" s="29"/>
    </row>
    <row r="4148" spans="2:2" hidden="1" x14ac:dyDescent="0.35">
      <c r="B4148" s="29"/>
    </row>
    <row r="4149" spans="2:2" hidden="1" x14ac:dyDescent="0.35">
      <c r="B4149" s="29"/>
    </row>
    <row r="4150" spans="2:2" hidden="1" x14ac:dyDescent="0.35">
      <c r="B4150" s="29"/>
    </row>
    <row r="4151" spans="2:2" hidden="1" x14ac:dyDescent="0.35">
      <c r="B4151" s="29"/>
    </row>
    <row r="4152" spans="2:2" hidden="1" x14ac:dyDescent="0.35">
      <c r="B4152" s="29"/>
    </row>
    <row r="4153" spans="2:2" hidden="1" x14ac:dyDescent="0.35">
      <c r="B4153" s="29"/>
    </row>
    <row r="4154" spans="2:2" hidden="1" x14ac:dyDescent="0.35">
      <c r="B4154" s="29"/>
    </row>
    <row r="4155" spans="2:2" hidden="1" x14ac:dyDescent="0.35">
      <c r="B4155" s="29"/>
    </row>
    <row r="4156" spans="2:2" hidden="1" x14ac:dyDescent="0.35">
      <c r="B4156" s="29"/>
    </row>
    <row r="4157" spans="2:2" hidden="1" x14ac:dyDescent="0.35">
      <c r="B4157" s="29"/>
    </row>
    <row r="4158" spans="2:2" hidden="1" x14ac:dyDescent="0.35">
      <c r="B4158" s="29"/>
    </row>
    <row r="4159" spans="2:2" hidden="1" x14ac:dyDescent="0.35">
      <c r="B4159" s="29"/>
    </row>
    <row r="4160" spans="2:2" hidden="1" x14ac:dyDescent="0.35">
      <c r="B4160" s="29"/>
    </row>
    <row r="4161" spans="2:2" hidden="1" x14ac:dyDescent="0.35">
      <c r="B4161" s="29"/>
    </row>
    <row r="4162" spans="2:2" hidden="1" x14ac:dyDescent="0.35">
      <c r="B4162" s="29"/>
    </row>
    <row r="4163" spans="2:2" hidden="1" x14ac:dyDescent="0.35">
      <c r="B4163" s="29"/>
    </row>
    <row r="4164" spans="2:2" hidden="1" x14ac:dyDescent="0.35">
      <c r="B4164" s="29"/>
    </row>
    <row r="4165" spans="2:2" hidden="1" x14ac:dyDescent="0.35">
      <c r="B4165" s="29"/>
    </row>
    <row r="4166" spans="2:2" hidden="1" x14ac:dyDescent="0.35">
      <c r="B4166" s="29"/>
    </row>
    <row r="4167" spans="2:2" hidden="1" x14ac:dyDescent="0.35">
      <c r="B4167" s="29"/>
    </row>
    <row r="4168" spans="2:2" hidden="1" x14ac:dyDescent="0.35">
      <c r="B4168" s="29"/>
    </row>
    <row r="4169" spans="2:2" hidden="1" x14ac:dyDescent="0.35">
      <c r="B4169" s="29"/>
    </row>
    <row r="4170" spans="2:2" hidden="1" x14ac:dyDescent="0.35">
      <c r="B4170" s="29"/>
    </row>
    <row r="4171" spans="2:2" hidden="1" x14ac:dyDescent="0.35">
      <c r="B4171" s="29"/>
    </row>
    <row r="4172" spans="2:2" hidden="1" x14ac:dyDescent="0.35">
      <c r="B4172" s="29"/>
    </row>
    <row r="4173" spans="2:2" hidden="1" x14ac:dyDescent="0.35">
      <c r="B4173" s="29"/>
    </row>
    <row r="4174" spans="2:2" hidden="1" x14ac:dyDescent="0.35">
      <c r="B4174" s="29"/>
    </row>
    <row r="4175" spans="2:2" hidden="1" x14ac:dyDescent="0.35">
      <c r="B4175" s="29"/>
    </row>
    <row r="4176" spans="2:2" hidden="1" x14ac:dyDescent="0.35">
      <c r="B4176" s="29"/>
    </row>
    <row r="4177" spans="2:2" hidden="1" x14ac:dyDescent="0.35">
      <c r="B4177" s="29"/>
    </row>
    <row r="4178" spans="2:2" hidden="1" x14ac:dyDescent="0.35">
      <c r="B4178" s="29"/>
    </row>
    <row r="4179" spans="2:2" hidden="1" x14ac:dyDescent="0.35">
      <c r="B4179" s="29"/>
    </row>
    <row r="4180" spans="2:2" hidden="1" x14ac:dyDescent="0.35">
      <c r="B4180" s="29"/>
    </row>
    <row r="4181" spans="2:2" hidden="1" x14ac:dyDescent="0.35">
      <c r="B4181" s="29"/>
    </row>
    <row r="4182" spans="2:2" hidden="1" x14ac:dyDescent="0.35">
      <c r="B4182" s="29"/>
    </row>
    <row r="4183" spans="2:2" hidden="1" x14ac:dyDescent="0.35">
      <c r="B4183" s="29"/>
    </row>
    <row r="4184" spans="2:2" hidden="1" x14ac:dyDescent="0.35">
      <c r="B4184" s="29"/>
    </row>
    <row r="4185" spans="2:2" hidden="1" x14ac:dyDescent="0.35">
      <c r="B4185" s="29"/>
    </row>
    <row r="4186" spans="2:2" hidden="1" x14ac:dyDescent="0.35">
      <c r="B4186" s="29"/>
    </row>
    <row r="4187" spans="2:2" hidden="1" x14ac:dyDescent="0.35">
      <c r="B4187" s="29"/>
    </row>
    <row r="4188" spans="2:2" hidden="1" x14ac:dyDescent="0.35">
      <c r="B4188" s="29"/>
    </row>
    <row r="4189" spans="2:2" hidden="1" x14ac:dyDescent="0.35">
      <c r="B4189" s="29"/>
    </row>
    <row r="4190" spans="2:2" hidden="1" x14ac:dyDescent="0.35">
      <c r="B4190" s="29"/>
    </row>
    <row r="4191" spans="2:2" hidden="1" x14ac:dyDescent="0.35">
      <c r="B4191" s="29"/>
    </row>
    <row r="4192" spans="2:2" hidden="1" x14ac:dyDescent="0.35">
      <c r="B4192" s="29"/>
    </row>
    <row r="4193" spans="2:2" hidden="1" x14ac:dyDescent="0.35">
      <c r="B4193" s="29"/>
    </row>
    <row r="4194" spans="2:2" hidden="1" x14ac:dyDescent="0.35">
      <c r="B4194" s="29"/>
    </row>
    <row r="4195" spans="2:2" hidden="1" x14ac:dyDescent="0.35">
      <c r="B4195" s="29"/>
    </row>
    <row r="4196" spans="2:2" hidden="1" x14ac:dyDescent="0.35">
      <c r="B4196" s="29"/>
    </row>
    <row r="4197" spans="2:2" hidden="1" x14ac:dyDescent="0.35">
      <c r="B4197" s="29"/>
    </row>
    <row r="4198" spans="2:2" hidden="1" x14ac:dyDescent="0.35">
      <c r="B4198" s="29"/>
    </row>
    <row r="4199" spans="2:2" hidden="1" x14ac:dyDescent="0.35">
      <c r="B4199" s="29"/>
    </row>
    <row r="4200" spans="2:2" hidden="1" x14ac:dyDescent="0.35">
      <c r="B4200" s="29"/>
    </row>
    <row r="4201" spans="2:2" hidden="1" x14ac:dyDescent="0.35">
      <c r="B4201" s="29"/>
    </row>
    <row r="4202" spans="2:2" hidden="1" x14ac:dyDescent="0.35">
      <c r="B4202" s="29"/>
    </row>
    <row r="4203" spans="2:2" hidden="1" x14ac:dyDescent="0.35">
      <c r="B4203" s="29"/>
    </row>
    <row r="4204" spans="2:2" hidden="1" x14ac:dyDescent="0.35">
      <c r="B4204" s="29"/>
    </row>
    <row r="4205" spans="2:2" hidden="1" x14ac:dyDescent="0.35">
      <c r="B4205" s="29"/>
    </row>
    <row r="4206" spans="2:2" hidden="1" x14ac:dyDescent="0.35">
      <c r="B4206" s="29"/>
    </row>
    <row r="4207" spans="2:2" hidden="1" x14ac:dyDescent="0.35">
      <c r="B4207" s="29"/>
    </row>
    <row r="4208" spans="2:2" hidden="1" x14ac:dyDescent="0.35">
      <c r="B4208" s="29"/>
    </row>
    <row r="4209" spans="2:2" hidden="1" x14ac:dyDescent="0.35">
      <c r="B4209" s="29"/>
    </row>
    <row r="4210" spans="2:2" hidden="1" x14ac:dyDescent="0.35">
      <c r="B4210" s="29"/>
    </row>
    <row r="4211" spans="2:2" hidden="1" x14ac:dyDescent="0.35">
      <c r="B4211" s="29"/>
    </row>
    <row r="4212" spans="2:2" hidden="1" x14ac:dyDescent="0.35">
      <c r="B4212" s="29"/>
    </row>
    <row r="4213" spans="2:2" hidden="1" x14ac:dyDescent="0.35">
      <c r="B4213" s="29"/>
    </row>
    <row r="4214" spans="2:2" hidden="1" x14ac:dyDescent="0.35">
      <c r="B4214" s="29"/>
    </row>
    <row r="4215" spans="2:2" hidden="1" x14ac:dyDescent="0.35">
      <c r="B4215" s="29"/>
    </row>
    <row r="4216" spans="2:2" hidden="1" x14ac:dyDescent="0.35">
      <c r="B4216" s="29"/>
    </row>
    <row r="4217" spans="2:2" hidden="1" x14ac:dyDescent="0.35">
      <c r="B4217" s="29"/>
    </row>
    <row r="4218" spans="2:2" hidden="1" x14ac:dyDescent="0.35">
      <c r="B4218" s="29"/>
    </row>
    <row r="4219" spans="2:2" hidden="1" x14ac:dyDescent="0.35">
      <c r="B4219" s="29"/>
    </row>
    <row r="4220" spans="2:2" hidden="1" x14ac:dyDescent="0.35">
      <c r="B4220" s="29"/>
    </row>
    <row r="4221" spans="2:2" hidden="1" x14ac:dyDescent="0.35">
      <c r="B4221" s="29"/>
    </row>
    <row r="4222" spans="2:2" hidden="1" x14ac:dyDescent="0.35">
      <c r="B4222" s="29"/>
    </row>
    <row r="4223" spans="2:2" hidden="1" x14ac:dyDescent="0.35">
      <c r="B4223" s="29"/>
    </row>
    <row r="4224" spans="2:2" hidden="1" x14ac:dyDescent="0.35">
      <c r="B4224" s="29"/>
    </row>
    <row r="4225" spans="2:2" hidden="1" x14ac:dyDescent="0.35">
      <c r="B4225" s="29"/>
    </row>
    <row r="4226" spans="2:2" hidden="1" x14ac:dyDescent="0.35">
      <c r="B4226" s="29"/>
    </row>
    <row r="4227" spans="2:2" hidden="1" x14ac:dyDescent="0.35">
      <c r="B4227" s="29"/>
    </row>
    <row r="4228" spans="2:2" hidden="1" x14ac:dyDescent="0.35">
      <c r="B4228" s="29"/>
    </row>
    <row r="4229" spans="2:2" hidden="1" x14ac:dyDescent="0.35">
      <c r="B4229" s="29"/>
    </row>
    <row r="4230" spans="2:2" hidden="1" x14ac:dyDescent="0.35">
      <c r="B4230" s="29"/>
    </row>
    <row r="4231" spans="2:2" hidden="1" x14ac:dyDescent="0.35">
      <c r="B4231" s="29"/>
    </row>
    <row r="4232" spans="2:2" hidden="1" x14ac:dyDescent="0.35">
      <c r="B4232" s="29"/>
    </row>
    <row r="4233" spans="2:2" hidden="1" x14ac:dyDescent="0.35">
      <c r="B4233" s="29"/>
    </row>
    <row r="4234" spans="2:2" hidden="1" x14ac:dyDescent="0.35">
      <c r="B4234" s="29"/>
    </row>
    <row r="4235" spans="2:2" hidden="1" x14ac:dyDescent="0.35">
      <c r="B4235" s="29"/>
    </row>
    <row r="4236" spans="2:2" hidden="1" x14ac:dyDescent="0.35">
      <c r="B4236" s="29"/>
    </row>
    <row r="4237" spans="2:2" hidden="1" x14ac:dyDescent="0.35">
      <c r="B4237" s="29"/>
    </row>
    <row r="4238" spans="2:2" hidden="1" x14ac:dyDescent="0.35">
      <c r="B4238" s="29"/>
    </row>
    <row r="4239" spans="2:2" hidden="1" x14ac:dyDescent="0.35">
      <c r="B4239" s="29"/>
    </row>
    <row r="4240" spans="2:2" hidden="1" x14ac:dyDescent="0.35">
      <c r="B4240" s="29"/>
    </row>
    <row r="4241" spans="2:2" hidden="1" x14ac:dyDescent="0.35">
      <c r="B4241" s="29"/>
    </row>
    <row r="4242" spans="2:2" hidden="1" x14ac:dyDescent="0.35">
      <c r="B4242" s="29"/>
    </row>
    <row r="4243" spans="2:2" hidden="1" x14ac:dyDescent="0.35">
      <c r="B4243" s="29"/>
    </row>
    <row r="4244" spans="2:2" hidden="1" x14ac:dyDescent="0.35">
      <c r="B4244" s="29"/>
    </row>
    <row r="4245" spans="2:2" hidden="1" x14ac:dyDescent="0.35">
      <c r="B4245" s="29"/>
    </row>
    <row r="4246" spans="2:2" hidden="1" x14ac:dyDescent="0.35">
      <c r="B4246" s="29"/>
    </row>
    <row r="4247" spans="2:2" hidden="1" x14ac:dyDescent="0.35">
      <c r="B4247" s="29"/>
    </row>
    <row r="4248" spans="2:2" hidden="1" x14ac:dyDescent="0.35">
      <c r="B4248" s="29"/>
    </row>
    <row r="4249" spans="2:2" hidden="1" x14ac:dyDescent="0.35">
      <c r="B4249" s="29"/>
    </row>
    <row r="4250" spans="2:2" hidden="1" x14ac:dyDescent="0.35">
      <c r="B4250" s="29"/>
    </row>
    <row r="4251" spans="2:2" hidden="1" x14ac:dyDescent="0.35">
      <c r="B4251" s="29"/>
    </row>
    <row r="4252" spans="2:2" hidden="1" x14ac:dyDescent="0.35">
      <c r="B4252" s="29"/>
    </row>
    <row r="4253" spans="2:2" hidden="1" x14ac:dyDescent="0.35">
      <c r="B4253" s="29"/>
    </row>
    <row r="4254" spans="2:2" hidden="1" x14ac:dyDescent="0.35">
      <c r="B4254" s="29"/>
    </row>
    <row r="4255" spans="2:2" hidden="1" x14ac:dyDescent="0.35">
      <c r="B4255" s="29"/>
    </row>
    <row r="4256" spans="2:2" hidden="1" x14ac:dyDescent="0.35">
      <c r="B4256" s="29"/>
    </row>
    <row r="4257" spans="2:2" hidden="1" x14ac:dyDescent="0.35">
      <c r="B4257" s="29"/>
    </row>
    <row r="4258" spans="2:2" hidden="1" x14ac:dyDescent="0.35">
      <c r="B4258" s="29"/>
    </row>
    <row r="4259" spans="2:2" hidden="1" x14ac:dyDescent="0.35">
      <c r="B4259" s="29"/>
    </row>
    <row r="4260" spans="2:2" hidden="1" x14ac:dyDescent="0.35">
      <c r="B4260" s="29"/>
    </row>
    <row r="4261" spans="2:2" hidden="1" x14ac:dyDescent="0.35">
      <c r="B4261" s="29"/>
    </row>
    <row r="4262" spans="2:2" hidden="1" x14ac:dyDescent="0.35">
      <c r="B4262" s="29"/>
    </row>
    <row r="4263" spans="2:2" hidden="1" x14ac:dyDescent="0.35">
      <c r="B4263" s="29"/>
    </row>
    <row r="4264" spans="2:2" hidden="1" x14ac:dyDescent="0.35">
      <c r="B4264" s="29"/>
    </row>
    <row r="4265" spans="2:2" hidden="1" x14ac:dyDescent="0.35">
      <c r="B4265" s="29"/>
    </row>
    <row r="4266" spans="2:2" hidden="1" x14ac:dyDescent="0.35">
      <c r="B4266" s="29"/>
    </row>
    <row r="4267" spans="2:2" hidden="1" x14ac:dyDescent="0.35">
      <c r="B4267" s="29"/>
    </row>
    <row r="4268" spans="2:2" hidden="1" x14ac:dyDescent="0.35">
      <c r="B4268" s="29"/>
    </row>
    <row r="4269" spans="2:2" hidden="1" x14ac:dyDescent="0.35">
      <c r="B4269" s="29"/>
    </row>
    <row r="4270" spans="2:2" hidden="1" x14ac:dyDescent="0.35">
      <c r="B4270" s="29"/>
    </row>
    <row r="4271" spans="2:2" hidden="1" x14ac:dyDescent="0.35">
      <c r="B4271" s="29"/>
    </row>
    <row r="4272" spans="2:2" hidden="1" x14ac:dyDescent="0.35">
      <c r="B4272" s="29"/>
    </row>
    <row r="4273" spans="2:2" hidden="1" x14ac:dyDescent="0.35">
      <c r="B4273" s="29"/>
    </row>
    <row r="4274" spans="2:2" hidden="1" x14ac:dyDescent="0.35">
      <c r="B4274" s="29"/>
    </row>
    <row r="4275" spans="2:2" hidden="1" x14ac:dyDescent="0.35">
      <c r="B4275" s="29"/>
    </row>
    <row r="4276" spans="2:2" hidden="1" x14ac:dyDescent="0.35">
      <c r="B4276" s="29"/>
    </row>
    <row r="4277" spans="2:2" hidden="1" x14ac:dyDescent="0.35">
      <c r="B4277" s="29"/>
    </row>
    <row r="4278" spans="2:2" hidden="1" x14ac:dyDescent="0.35">
      <c r="B4278" s="29"/>
    </row>
    <row r="4279" spans="2:2" hidden="1" x14ac:dyDescent="0.35">
      <c r="B4279" s="29"/>
    </row>
    <row r="4280" spans="2:2" hidden="1" x14ac:dyDescent="0.35">
      <c r="B4280" s="29"/>
    </row>
    <row r="4281" spans="2:2" hidden="1" x14ac:dyDescent="0.35">
      <c r="B4281" s="29"/>
    </row>
    <row r="4282" spans="2:2" hidden="1" x14ac:dyDescent="0.35">
      <c r="B4282" s="29"/>
    </row>
    <row r="4283" spans="2:2" hidden="1" x14ac:dyDescent="0.35">
      <c r="B4283" s="29"/>
    </row>
    <row r="4284" spans="2:2" hidden="1" x14ac:dyDescent="0.35">
      <c r="B4284" s="29"/>
    </row>
    <row r="4285" spans="2:2" hidden="1" x14ac:dyDescent="0.35">
      <c r="B4285" s="29"/>
    </row>
    <row r="4286" spans="2:2" hidden="1" x14ac:dyDescent="0.35">
      <c r="B4286" s="29"/>
    </row>
    <row r="4287" spans="2:2" hidden="1" x14ac:dyDescent="0.35">
      <c r="B4287" s="29"/>
    </row>
    <row r="4288" spans="2:2" hidden="1" x14ac:dyDescent="0.35">
      <c r="B4288" s="29"/>
    </row>
    <row r="4289" spans="2:2" hidden="1" x14ac:dyDescent="0.35">
      <c r="B4289" s="29"/>
    </row>
    <row r="4290" spans="2:2" hidden="1" x14ac:dyDescent="0.35">
      <c r="B4290" s="29"/>
    </row>
    <row r="4291" spans="2:2" hidden="1" x14ac:dyDescent="0.35">
      <c r="B4291" s="29"/>
    </row>
    <row r="4292" spans="2:2" hidden="1" x14ac:dyDescent="0.35">
      <c r="B4292" s="29"/>
    </row>
    <row r="4293" spans="2:2" hidden="1" x14ac:dyDescent="0.35">
      <c r="B4293" s="29"/>
    </row>
    <row r="4294" spans="2:2" hidden="1" x14ac:dyDescent="0.35">
      <c r="B4294" s="29"/>
    </row>
    <row r="4295" spans="2:2" hidden="1" x14ac:dyDescent="0.35">
      <c r="B4295" s="29"/>
    </row>
    <row r="4296" spans="2:2" hidden="1" x14ac:dyDescent="0.35">
      <c r="B4296" s="29"/>
    </row>
    <row r="4297" spans="2:2" hidden="1" x14ac:dyDescent="0.35">
      <c r="B4297" s="29"/>
    </row>
    <row r="4298" spans="2:2" hidden="1" x14ac:dyDescent="0.35">
      <c r="B4298" s="29"/>
    </row>
    <row r="4299" spans="2:2" hidden="1" x14ac:dyDescent="0.35">
      <c r="B4299" s="29"/>
    </row>
    <row r="4300" spans="2:2" hidden="1" x14ac:dyDescent="0.35">
      <c r="B4300" s="29"/>
    </row>
    <row r="4301" spans="2:2" hidden="1" x14ac:dyDescent="0.35">
      <c r="B4301" s="29"/>
    </row>
    <row r="4302" spans="2:2" hidden="1" x14ac:dyDescent="0.35">
      <c r="B4302" s="29"/>
    </row>
    <row r="4303" spans="2:2" hidden="1" x14ac:dyDescent="0.35">
      <c r="B4303" s="29"/>
    </row>
    <row r="4304" spans="2:2" hidden="1" x14ac:dyDescent="0.35">
      <c r="B4304" s="29"/>
    </row>
    <row r="4305" spans="2:2" hidden="1" x14ac:dyDescent="0.35">
      <c r="B4305" s="29"/>
    </row>
    <row r="4306" spans="2:2" hidden="1" x14ac:dyDescent="0.35">
      <c r="B4306" s="29"/>
    </row>
    <row r="4307" spans="2:2" hidden="1" x14ac:dyDescent="0.35">
      <c r="B4307" s="29"/>
    </row>
    <row r="4308" spans="2:2" hidden="1" x14ac:dyDescent="0.35">
      <c r="B4308" s="29"/>
    </row>
    <row r="4309" spans="2:2" hidden="1" x14ac:dyDescent="0.35">
      <c r="B4309" s="29"/>
    </row>
    <row r="4310" spans="2:2" hidden="1" x14ac:dyDescent="0.35">
      <c r="B4310" s="29"/>
    </row>
    <row r="4311" spans="2:2" hidden="1" x14ac:dyDescent="0.35">
      <c r="B4311" s="29"/>
    </row>
    <row r="4312" spans="2:2" hidden="1" x14ac:dyDescent="0.35">
      <c r="B4312" s="29"/>
    </row>
    <row r="4313" spans="2:2" hidden="1" x14ac:dyDescent="0.35">
      <c r="B4313" s="29"/>
    </row>
    <row r="4314" spans="2:2" hidden="1" x14ac:dyDescent="0.35">
      <c r="B4314" s="29"/>
    </row>
    <row r="4315" spans="2:2" hidden="1" x14ac:dyDescent="0.35">
      <c r="B4315" s="29"/>
    </row>
    <row r="4316" spans="2:2" hidden="1" x14ac:dyDescent="0.35">
      <c r="B4316" s="29"/>
    </row>
    <row r="4317" spans="2:2" hidden="1" x14ac:dyDescent="0.35">
      <c r="B4317" s="29"/>
    </row>
    <row r="4318" spans="2:2" hidden="1" x14ac:dyDescent="0.35">
      <c r="B4318" s="29"/>
    </row>
    <row r="4319" spans="2:2" hidden="1" x14ac:dyDescent="0.35">
      <c r="B4319" s="29"/>
    </row>
    <row r="4320" spans="2:2" hidden="1" x14ac:dyDescent="0.35">
      <c r="B4320" s="29"/>
    </row>
    <row r="4321" spans="2:2" hidden="1" x14ac:dyDescent="0.35">
      <c r="B4321" s="29"/>
    </row>
    <row r="4322" spans="2:2" hidden="1" x14ac:dyDescent="0.35">
      <c r="B4322" s="29"/>
    </row>
    <row r="4323" spans="2:2" hidden="1" x14ac:dyDescent="0.35">
      <c r="B4323" s="29"/>
    </row>
    <row r="4324" spans="2:2" hidden="1" x14ac:dyDescent="0.35">
      <c r="B4324" s="29"/>
    </row>
    <row r="4325" spans="2:2" hidden="1" x14ac:dyDescent="0.35">
      <c r="B4325" s="29"/>
    </row>
    <row r="4326" spans="2:2" hidden="1" x14ac:dyDescent="0.35">
      <c r="B4326" s="29"/>
    </row>
    <row r="4327" spans="2:2" hidden="1" x14ac:dyDescent="0.35">
      <c r="B4327" s="29"/>
    </row>
    <row r="4328" spans="2:2" hidden="1" x14ac:dyDescent="0.35">
      <c r="B4328" s="29"/>
    </row>
    <row r="4329" spans="2:2" hidden="1" x14ac:dyDescent="0.35">
      <c r="B4329" s="29"/>
    </row>
    <row r="4330" spans="2:2" hidden="1" x14ac:dyDescent="0.35">
      <c r="B4330" s="29"/>
    </row>
    <row r="4331" spans="2:2" hidden="1" x14ac:dyDescent="0.35">
      <c r="B4331" s="29"/>
    </row>
    <row r="4332" spans="2:2" hidden="1" x14ac:dyDescent="0.35">
      <c r="B4332" s="29"/>
    </row>
    <row r="4333" spans="2:2" hidden="1" x14ac:dyDescent="0.35">
      <c r="B4333" s="29"/>
    </row>
    <row r="4334" spans="2:2" hidden="1" x14ac:dyDescent="0.35">
      <c r="B4334" s="29"/>
    </row>
    <row r="4335" spans="2:2" hidden="1" x14ac:dyDescent="0.35">
      <c r="B4335" s="29"/>
    </row>
    <row r="4336" spans="2:2" hidden="1" x14ac:dyDescent="0.35">
      <c r="B4336" s="29"/>
    </row>
    <row r="4337" spans="2:2" hidden="1" x14ac:dyDescent="0.35">
      <c r="B4337" s="29"/>
    </row>
    <row r="4338" spans="2:2" hidden="1" x14ac:dyDescent="0.35">
      <c r="B4338" s="29"/>
    </row>
    <row r="4339" spans="2:2" hidden="1" x14ac:dyDescent="0.35">
      <c r="B4339" s="29"/>
    </row>
    <row r="4340" spans="2:2" hidden="1" x14ac:dyDescent="0.35">
      <c r="B4340" s="29"/>
    </row>
    <row r="4341" spans="2:2" hidden="1" x14ac:dyDescent="0.35">
      <c r="B4341" s="29"/>
    </row>
    <row r="4342" spans="2:2" hidden="1" x14ac:dyDescent="0.35">
      <c r="B4342" s="29"/>
    </row>
    <row r="4343" spans="2:2" hidden="1" x14ac:dyDescent="0.35">
      <c r="B4343" s="29"/>
    </row>
    <row r="4344" spans="2:2" hidden="1" x14ac:dyDescent="0.35">
      <c r="B4344" s="29"/>
    </row>
    <row r="4345" spans="2:2" hidden="1" x14ac:dyDescent="0.35">
      <c r="B4345" s="29"/>
    </row>
    <row r="4346" spans="2:2" hidden="1" x14ac:dyDescent="0.35">
      <c r="B4346" s="29"/>
    </row>
    <row r="4347" spans="2:2" hidden="1" x14ac:dyDescent="0.35">
      <c r="B4347" s="29"/>
    </row>
    <row r="4348" spans="2:2" hidden="1" x14ac:dyDescent="0.35">
      <c r="B4348" s="29"/>
    </row>
    <row r="4349" spans="2:2" hidden="1" x14ac:dyDescent="0.35">
      <c r="B4349" s="29"/>
    </row>
    <row r="4350" spans="2:2" hidden="1" x14ac:dyDescent="0.35">
      <c r="B4350" s="29"/>
    </row>
    <row r="4351" spans="2:2" hidden="1" x14ac:dyDescent="0.35">
      <c r="B4351" s="29"/>
    </row>
    <row r="4352" spans="2:2" hidden="1" x14ac:dyDescent="0.35">
      <c r="B4352" s="29"/>
    </row>
    <row r="4353" spans="2:2" hidden="1" x14ac:dyDescent="0.35">
      <c r="B4353" s="29"/>
    </row>
    <row r="4354" spans="2:2" hidden="1" x14ac:dyDescent="0.35">
      <c r="B4354" s="29"/>
    </row>
    <row r="4355" spans="2:2" hidden="1" x14ac:dyDescent="0.35">
      <c r="B4355" s="29"/>
    </row>
    <row r="4356" spans="2:2" hidden="1" x14ac:dyDescent="0.35">
      <c r="B4356" s="29"/>
    </row>
    <row r="4357" spans="2:2" hidden="1" x14ac:dyDescent="0.35">
      <c r="B4357" s="29"/>
    </row>
    <row r="4358" spans="2:2" hidden="1" x14ac:dyDescent="0.35">
      <c r="B4358" s="29"/>
    </row>
    <row r="4359" spans="2:2" hidden="1" x14ac:dyDescent="0.35">
      <c r="B4359" s="29"/>
    </row>
    <row r="4360" spans="2:2" hidden="1" x14ac:dyDescent="0.35">
      <c r="B4360" s="29"/>
    </row>
    <row r="4361" spans="2:2" hidden="1" x14ac:dyDescent="0.35">
      <c r="B4361" s="29"/>
    </row>
    <row r="4362" spans="2:2" hidden="1" x14ac:dyDescent="0.35">
      <c r="B4362" s="29"/>
    </row>
    <row r="4363" spans="2:2" hidden="1" x14ac:dyDescent="0.35">
      <c r="B4363" s="29"/>
    </row>
    <row r="4364" spans="2:2" hidden="1" x14ac:dyDescent="0.35">
      <c r="B4364" s="29"/>
    </row>
    <row r="4365" spans="2:2" hidden="1" x14ac:dyDescent="0.35">
      <c r="B4365" s="29"/>
    </row>
    <row r="4366" spans="2:2" hidden="1" x14ac:dyDescent="0.35">
      <c r="B4366" s="29"/>
    </row>
    <row r="4367" spans="2:2" hidden="1" x14ac:dyDescent="0.35">
      <c r="B4367" s="29"/>
    </row>
    <row r="4368" spans="2:2" hidden="1" x14ac:dyDescent="0.35">
      <c r="B4368" s="29"/>
    </row>
    <row r="4369" spans="2:2" hidden="1" x14ac:dyDescent="0.35">
      <c r="B4369" s="29"/>
    </row>
    <row r="4370" spans="2:2" hidden="1" x14ac:dyDescent="0.35">
      <c r="B4370" s="29"/>
    </row>
    <row r="4371" spans="2:2" hidden="1" x14ac:dyDescent="0.35">
      <c r="B4371" s="29"/>
    </row>
    <row r="4372" spans="2:2" hidden="1" x14ac:dyDescent="0.35">
      <c r="B4372" s="29"/>
    </row>
    <row r="4373" spans="2:2" hidden="1" x14ac:dyDescent="0.35">
      <c r="B4373" s="29"/>
    </row>
    <row r="4374" spans="2:2" hidden="1" x14ac:dyDescent="0.35">
      <c r="B4374" s="29"/>
    </row>
    <row r="4375" spans="2:2" hidden="1" x14ac:dyDescent="0.35">
      <c r="B4375" s="29"/>
    </row>
    <row r="4376" spans="2:2" hidden="1" x14ac:dyDescent="0.35">
      <c r="B4376" s="29"/>
    </row>
    <row r="4377" spans="2:2" hidden="1" x14ac:dyDescent="0.35">
      <c r="B4377" s="29"/>
    </row>
    <row r="4378" spans="2:2" hidden="1" x14ac:dyDescent="0.35">
      <c r="B4378" s="29"/>
    </row>
    <row r="4379" spans="2:2" hidden="1" x14ac:dyDescent="0.35">
      <c r="B4379" s="29"/>
    </row>
    <row r="4380" spans="2:2" hidden="1" x14ac:dyDescent="0.35">
      <c r="B4380" s="29"/>
    </row>
    <row r="4381" spans="2:2" hidden="1" x14ac:dyDescent="0.35">
      <c r="B4381" s="29"/>
    </row>
    <row r="4382" spans="2:2" hidden="1" x14ac:dyDescent="0.35">
      <c r="B4382" s="29"/>
    </row>
    <row r="4383" spans="2:2" hidden="1" x14ac:dyDescent="0.35">
      <c r="B4383" s="29"/>
    </row>
    <row r="4384" spans="2:2" hidden="1" x14ac:dyDescent="0.35">
      <c r="B4384" s="29"/>
    </row>
    <row r="4385" spans="2:2" hidden="1" x14ac:dyDescent="0.35">
      <c r="B4385" s="29"/>
    </row>
    <row r="4386" spans="2:2" hidden="1" x14ac:dyDescent="0.35">
      <c r="B4386" s="29"/>
    </row>
    <row r="4387" spans="2:2" hidden="1" x14ac:dyDescent="0.35">
      <c r="B4387" s="29"/>
    </row>
    <row r="4388" spans="2:2" hidden="1" x14ac:dyDescent="0.35">
      <c r="B4388" s="29"/>
    </row>
    <row r="4389" spans="2:2" hidden="1" x14ac:dyDescent="0.35">
      <c r="B4389" s="29"/>
    </row>
    <row r="4390" spans="2:2" hidden="1" x14ac:dyDescent="0.35">
      <c r="B4390" s="29"/>
    </row>
    <row r="4391" spans="2:2" hidden="1" x14ac:dyDescent="0.35">
      <c r="B4391" s="29"/>
    </row>
    <row r="4392" spans="2:2" hidden="1" x14ac:dyDescent="0.35">
      <c r="B4392" s="29"/>
    </row>
    <row r="4393" spans="2:2" hidden="1" x14ac:dyDescent="0.35">
      <c r="B4393" s="29"/>
    </row>
    <row r="4394" spans="2:2" hidden="1" x14ac:dyDescent="0.35">
      <c r="B4394" s="29"/>
    </row>
    <row r="4395" spans="2:2" hidden="1" x14ac:dyDescent="0.35">
      <c r="B4395" s="29"/>
    </row>
    <row r="4396" spans="2:2" hidden="1" x14ac:dyDescent="0.35">
      <c r="B4396" s="29"/>
    </row>
    <row r="4397" spans="2:2" hidden="1" x14ac:dyDescent="0.35">
      <c r="B4397" s="29"/>
    </row>
    <row r="4398" spans="2:2" hidden="1" x14ac:dyDescent="0.35">
      <c r="B4398" s="29"/>
    </row>
    <row r="4399" spans="2:2" hidden="1" x14ac:dyDescent="0.35">
      <c r="B4399" s="29"/>
    </row>
    <row r="4400" spans="2:2" hidden="1" x14ac:dyDescent="0.35">
      <c r="B4400" s="29"/>
    </row>
    <row r="4401" spans="2:2" hidden="1" x14ac:dyDescent="0.35">
      <c r="B4401" s="29"/>
    </row>
    <row r="4402" spans="2:2" hidden="1" x14ac:dyDescent="0.35">
      <c r="B4402" s="29"/>
    </row>
    <row r="4403" spans="2:2" hidden="1" x14ac:dyDescent="0.35">
      <c r="B4403" s="29"/>
    </row>
    <row r="4404" spans="2:2" hidden="1" x14ac:dyDescent="0.35">
      <c r="B4404" s="29"/>
    </row>
    <row r="4405" spans="2:2" hidden="1" x14ac:dyDescent="0.35">
      <c r="B4405" s="29"/>
    </row>
    <row r="4406" spans="2:2" hidden="1" x14ac:dyDescent="0.35">
      <c r="B4406" s="29"/>
    </row>
    <row r="4407" spans="2:2" hidden="1" x14ac:dyDescent="0.35">
      <c r="B4407" s="29"/>
    </row>
    <row r="4408" spans="2:2" hidden="1" x14ac:dyDescent="0.35">
      <c r="B4408" s="29"/>
    </row>
    <row r="4409" spans="2:2" hidden="1" x14ac:dyDescent="0.35">
      <c r="B4409" s="29"/>
    </row>
    <row r="4410" spans="2:2" hidden="1" x14ac:dyDescent="0.35">
      <c r="B4410" s="29"/>
    </row>
    <row r="4411" spans="2:2" hidden="1" x14ac:dyDescent="0.35">
      <c r="B4411" s="29"/>
    </row>
    <row r="4412" spans="2:2" hidden="1" x14ac:dyDescent="0.35">
      <c r="B4412" s="29"/>
    </row>
    <row r="4413" spans="2:2" hidden="1" x14ac:dyDescent="0.35">
      <c r="B4413" s="29"/>
    </row>
    <row r="4414" spans="2:2" hidden="1" x14ac:dyDescent="0.35">
      <c r="B4414" s="29"/>
    </row>
    <row r="4415" spans="2:2" hidden="1" x14ac:dyDescent="0.35">
      <c r="B4415" s="29"/>
    </row>
    <row r="4416" spans="2:2" hidden="1" x14ac:dyDescent="0.35">
      <c r="B4416" s="29"/>
    </row>
    <row r="4417" spans="2:2" hidden="1" x14ac:dyDescent="0.35">
      <c r="B4417" s="29"/>
    </row>
    <row r="4418" spans="2:2" hidden="1" x14ac:dyDescent="0.35">
      <c r="B4418" s="29"/>
    </row>
    <row r="4419" spans="2:2" hidden="1" x14ac:dyDescent="0.35">
      <c r="B4419" s="29"/>
    </row>
    <row r="4420" spans="2:2" hidden="1" x14ac:dyDescent="0.35">
      <c r="B4420" s="29"/>
    </row>
    <row r="4421" spans="2:2" hidden="1" x14ac:dyDescent="0.35">
      <c r="B4421" s="29"/>
    </row>
    <row r="4422" spans="2:2" hidden="1" x14ac:dyDescent="0.35">
      <c r="B4422" s="29"/>
    </row>
    <row r="4423" spans="2:2" hidden="1" x14ac:dyDescent="0.35">
      <c r="B4423" s="29"/>
    </row>
    <row r="4424" spans="2:2" hidden="1" x14ac:dyDescent="0.35">
      <c r="B4424" s="29"/>
    </row>
    <row r="4425" spans="2:2" hidden="1" x14ac:dyDescent="0.35">
      <c r="B4425" s="29"/>
    </row>
    <row r="4426" spans="2:2" hidden="1" x14ac:dyDescent="0.35">
      <c r="B4426" s="29"/>
    </row>
    <row r="4427" spans="2:2" hidden="1" x14ac:dyDescent="0.35">
      <c r="B4427" s="29"/>
    </row>
    <row r="4428" spans="2:2" hidden="1" x14ac:dyDescent="0.35">
      <c r="B4428" s="29"/>
    </row>
    <row r="4429" spans="2:2" hidden="1" x14ac:dyDescent="0.35">
      <c r="B4429" s="29"/>
    </row>
    <row r="4430" spans="2:2" hidden="1" x14ac:dyDescent="0.35">
      <c r="B4430" s="29"/>
    </row>
    <row r="4431" spans="2:2" hidden="1" x14ac:dyDescent="0.35">
      <c r="B4431" s="29"/>
    </row>
    <row r="4432" spans="2:2" hidden="1" x14ac:dyDescent="0.35">
      <c r="B4432" s="29"/>
    </row>
    <row r="4433" spans="2:2" hidden="1" x14ac:dyDescent="0.35">
      <c r="B4433" s="29"/>
    </row>
    <row r="4434" spans="2:2" hidden="1" x14ac:dyDescent="0.35">
      <c r="B4434" s="29"/>
    </row>
    <row r="4435" spans="2:2" hidden="1" x14ac:dyDescent="0.35">
      <c r="B4435" s="29"/>
    </row>
    <row r="4436" spans="2:2" hidden="1" x14ac:dyDescent="0.35">
      <c r="B4436" s="29"/>
    </row>
    <row r="4437" spans="2:2" hidden="1" x14ac:dyDescent="0.35">
      <c r="B4437" s="29"/>
    </row>
    <row r="4438" spans="2:2" hidden="1" x14ac:dyDescent="0.35">
      <c r="B4438" s="29"/>
    </row>
    <row r="4439" spans="2:2" hidden="1" x14ac:dyDescent="0.35">
      <c r="B4439" s="29"/>
    </row>
    <row r="4440" spans="2:2" hidden="1" x14ac:dyDescent="0.35">
      <c r="B4440" s="29"/>
    </row>
    <row r="4441" spans="2:2" hidden="1" x14ac:dyDescent="0.35">
      <c r="B4441" s="29"/>
    </row>
    <row r="4442" spans="2:2" hidden="1" x14ac:dyDescent="0.35">
      <c r="B4442" s="29"/>
    </row>
    <row r="4443" spans="2:2" hidden="1" x14ac:dyDescent="0.35">
      <c r="B4443" s="29"/>
    </row>
    <row r="4444" spans="2:2" hidden="1" x14ac:dyDescent="0.35">
      <c r="B4444" s="29"/>
    </row>
    <row r="4445" spans="2:2" hidden="1" x14ac:dyDescent="0.35">
      <c r="B4445" s="29"/>
    </row>
    <row r="4446" spans="2:2" hidden="1" x14ac:dyDescent="0.35">
      <c r="B4446" s="29"/>
    </row>
    <row r="4447" spans="2:2" hidden="1" x14ac:dyDescent="0.35">
      <c r="B4447" s="29"/>
    </row>
    <row r="4448" spans="2:2" hidden="1" x14ac:dyDescent="0.35">
      <c r="B4448" s="29"/>
    </row>
    <row r="4449" spans="2:2" hidden="1" x14ac:dyDescent="0.35">
      <c r="B4449" s="29"/>
    </row>
    <row r="4450" spans="2:2" hidden="1" x14ac:dyDescent="0.35">
      <c r="B4450" s="29"/>
    </row>
    <row r="4451" spans="2:2" hidden="1" x14ac:dyDescent="0.35">
      <c r="B4451" s="29"/>
    </row>
    <row r="4452" spans="2:2" hidden="1" x14ac:dyDescent="0.35">
      <c r="B4452" s="29"/>
    </row>
    <row r="4453" spans="2:2" hidden="1" x14ac:dyDescent="0.35">
      <c r="B4453" s="29"/>
    </row>
    <row r="4454" spans="2:2" hidden="1" x14ac:dyDescent="0.35">
      <c r="B4454" s="29"/>
    </row>
    <row r="4455" spans="2:2" hidden="1" x14ac:dyDescent="0.35">
      <c r="B4455" s="29"/>
    </row>
    <row r="4456" spans="2:2" hidden="1" x14ac:dyDescent="0.35">
      <c r="B4456" s="29"/>
    </row>
    <row r="4457" spans="2:2" hidden="1" x14ac:dyDescent="0.35">
      <c r="B4457" s="29"/>
    </row>
    <row r="4458" spans="2:2" hidden="1" x14ac:dyDescent="0.35">
      <c r="B4458" s="29"/>
    </row>
    <row r="4459" spans="2:2" hidden="1" x14ac:dyDescent="0.35">
      <c r="B4459" s="29"/>
    </row>
    <row r="4460" spans="2:2" hidden="1" x14ac:dyDescent="0.35">
      <c r="B4460" s="29"/>
    </row>
    <row r="4461" spans="2:2" hidden="1" x14ac:dyDescent="0.35">
      <c r="B4461" s="29"/>
    </row>
    <row r="4462" spans="2:2" hidden="1" x14ac:dyDescent="0.35">
      <c r="B4462" s="29"/>
    </row>
    <row r="4463" spans="2:2" hidden="1" x14ac:dyDescent="0.35">
      <c r="B4463" s="29"/>
    </row>
    <row r="4464" spans="2:2" hidden="1" x14ac:dyDescent="0.35">
      <c r="B4464" s="29"/>
    </row>
    <row r="4465" spans="2:2" hidden="1" x14ac:dyDescent="0.35">
      <c r="B4465" s="29"/>
    </row>
    <row r="4466" spans="2:2" hidden="1" x14ac:dyDescent="0.35">
      <c r="B4466" s="29"/>
    </row>
    <row r="4467" spans="2:2" hidden="1" x14ac:dyDescent="0.35">
      <c r="B4467" s="29"/>
    </row>
    <row r="4468" spans="2:2" hidden="1" x14ac:dyDescent="0.35">
      <c r="B4468" s="29"/>
    </row>
    <row r="4469" spans="2:2" hidden="1" x14ac:dyDescent="0.35">
      <c r="B4469" s="29"/>
    </row>
    <row r="4470" spans="2:2" hidden="1" x14ac:dyDescent="0.35">
      <c r="B4470" s="29"/>
    </row>
    <row r="4471" spans="2:2" hidden="1" x14ac:dyDescent="0.35">
      <c r="B4471" s="29"/>
    </row>
    <row r="4472" spans="2:2" hidden="1" x14ac:dyDescent="0.35">
      <c r="B4472" s="29"/>
    </row>
    <row r="4473" spans="2:2" hidden="1" x14ac:dyDescent="0.35">
      <c r="B4473" s="29"/>
    </row>
    <row r="4474" spans="2:2" hidden="1" x14ac:dyDescent="0.35">
      <c r="B4474" s="29"/>
    </row>
    <row r="4475" spans="2:2" hidden="1" x14ac:dyDescent="0.35">
      <c r="B4475" s="29"/>
    </row>
    <row r="4476" spans="2:2" hidden="1" x14ac:dyDescent="0.35">
      <c r="B4476" s="29"/>
    </row>
    <row r="4477" spans="2:2" hidden="1" x14ac:dyDescent="0.35">
      <c r="B4477" s="29"/>
    </row>
    <row r="4478" spans="2:2" hidden="1" x14ac:dyDescent="0.35">
      <c r="B4478" s="29"/>
    </row>
    <row r="4479" spans="2:2" hidden="1" x14ac:dyDescent="0.35">
      <c r="B4479" s="29"/>
    </row>
    <row r="4480" spans="2:2" hidden="1" x14ac:dyDescent="0.35">
      <c r="B4480" s="29"/>
    </row>
    <row r="4481" spans="2:2" hidden="1" x14ac:dyDescent="0.35">
      <c r="B4481" s="29"/>
    </row>
    <row r="4482" spans="2:2" hidden="1" x14ac:dyDescent="0.35">
      <c r="B4482" s="29"/>
    </row>
    <row r="4483" spans="2:2" hidden="1" x14ac:dyDescent="0.35">
      <c r="B4483" s="29"/>
    </row>
    <row r="4484" spans="2:2" hidden="1" x14ac:dyDescent="0.35">
      <c r="B4484" s="29"/>
    </row>
    <row r="4485" spans="2:2" hidden="1" x14ac:dyDescent="0.35">
      <c r="B4485" s="29"/>
    </row>
    <row r="4486" spans="2:2" hidden="1" x14ac:dyDescent="0.35">
      <c r="B4486" s="29"/>
    </row>
    <row r="4487" spans="2:2" hidden="1" x14ac:dyDescent="0.35">
      <c r="B4487" s="29"/>
    </row>
    <row r="4488" spans="2:2" hidden="1" x14ac:dyDescent="0.35">
      <c r="B4488" s="29"/>
    </row>
    <row r="4489" spans="2:2" hidden="1" x14ac:dyDescent="0.35">
      <c r="B4489" s="29"/>
    </row>
    <row r="4490" spans="2:2" hidden="1" x14ac:dyDescent="0.35">
      <c r="B4490" s="29"/>
    </row>
    <row r="4491" spans="2:2" hidden="1" x14ac:dyDescent="0.35">
      <c r="B4491" s="29"/>
    </row>
    <row r="4492" spans="2:2" hidden="1" x14ac:dyDescent="0.35">
      <c r="B4492" s="29"/>
    </row>
    <row r="4493" spans="2:2" hidden="1" x14ac:dyDescent="0.35">
      <c r="B4493" s="29"/>
    </row>
    <row r="4494" spans="2:2" hidden="1" x14ac:dyDescent="0.35">
      <c r="B4494" s="29"/>
    </row>
    <row r="4495" spans="2:2" hidden="1" x14ac:dyDescent="0.35">
      <c r="B4495" s="29"/>
    </row>
    <row r="4496" spans="2:2" hidden="1" x14ac:dyDescent="0.35">
      <c r="B4496" s="29"/>
    </row>
    <row r="4497" spans="2:2" hidden="1" x14ac:dyDescent="0.35">
      <c r="B4497" s="29"/>
    </row>
    <row r="4498" spans="2:2" hidden="1" x14ac:dyDescent="0.35">
      <c r="B4498" s="29"/>
    </row>
    <row r="4499" spans="2:2" hidden="1" x14ac:dyDescent="0.35">
      <c r="B4499" s="29"/>
    </row>
    <row r="4500" spans="2:2" hidden="1" x14ac:dyDescent="0.35">
      <c r="B4500" s="29"/>
    </row>
    <row r="4501" spans="2:2" hidden="1" x14ac:dyDescent="0.35">
      <c r="B4501" s="29"/>
    </row>
    <row r="4502" spans="2:2" hidden="1" x14ac:dyDescent="0.35">
      <c r="B4502" s="29"/>
    </row>
    <row r="4503" spans="2:2" hidden="1" x14ac:dyDescent="0.35">
      <c r="B4503" s="29"/>
    </row>
    <row r="4504" spans="2:2" hidden="1" x14ac:dyDescent="0.35">
      <c r="B4504" s="29"/>
    </row>
    <row r="4505" spans="2:2" hidden="1" x14ac:dyDescent="0.35">
      <c r="B4505" s="29"/>
    </row>
    <row r="4506" spans="2:2" hidden="1" x14ac:dyDescent="0.35">
      <c r="B4506" s="29"/>
    </row>
    <row r="4507" spans="2:2" hidden="1" x14ac:dyDescent="0.35">
      <c r="B4507" s="29"/>
    </row>
    <row r="4508" spans="2:2" hidden="1" x14ac:dyDescent="0.35">
      <c r="B4508" s="29"/>
    </row>
    <row r="4509" spans="2:2" hidden="1" x14ac:dyDescent="0.35">
      <c r="B4509" s="29"/>
    </row>
    <row r="4510" spans="2:2" hidden="1" x14ac:dyDescent="0.35">
      <c r="B4510" s="29"/>
    </row>
    <row r="4511" spans="2:2" hidden="1" x14ac:dyDescent="0.35">
      <c r="B4511" s="29"/>
    </row>
    <row r="4512" spans="2:2" hidden="1" x14ac:dyDescent="0.35">
      <c r="B4512" s="29"/>
    </row>
    <row r="4513" spans="2:2" hidden="1" x14ac:dyDescent="0.35">
      <c r="B4513" s="29"/>
    </row>
    <row r="4514" spans="2:2" hidden="1" x14ac:dyDescent="0.35">
      <c r="B4514" s="29"/>
    </row>
    <row r="4515" spans="2:2" hidden="1" x14ac:dyDescent="0.35">
      <c r="B4515" s="29"/>
    </row>
    <row r="4516" spans="2:2" hidden="1" x14ac:dyDescent="0.35">
      <c r="B4516" s="29"/>
    </row>
    <row r="4517" spans="2:2" hidden="1" x14ac:dyDescent="0.35">
      <c r="B4517" s="29"/>
    </row>
    <row r="4518" spans="2:2" hidden="1" x14ac:dyDescent="0.35">
      <c r="B4518" s="29"/>
    </row>
    <row r="4519" spans="2:2" hidden="1" x14ac:dyDescent="0.35">
      <c r="B4519" s="29"/>
    </row>
    <row r="4520" spans="2:2" hidden="1" x14ac:dyDescent="0.35">
      <c r="B4520" s="29"/>
    </row>
    <row r="4521" spans="2:2" hidden="1" x14ac:dyDescent="0.35">
      <c r="B4521" s="29"/>
    </row>
    <row r="4522" spans="2:2" hidden="1" x14ac:dyDescent="0.35">
      <c r="B4522" s="29"/>
    </row>
    <row r="4523" spans="2:2" hidden="1" x14ac:dyDescent="0.35">
      <c r="B4523" s="29"/>
    </row>
    <row r="4524" spans="2:2" hidden="1" x14ac:dyDescent="0.35">
      <c r="B4524" s="29"/>
    </row>
    <row r="4525" spans="2:2" hidden="1" x14ac:dyDescent="0.35">
      <c r="B4525" s="29"/>
    </row>
    <row r="4526" spans="2:2" hidden="1" x14ac:dyDescent="0.35">
      <c r="B4526" s="29"/>
    </row>
    <row r="4527" spans="2:2" hidden="1" x14ac:dyDescent="0.35">
      <c r="B4527" s="29"/>
    </row>
    <row r="4528" spans="2:2" hidden="1" x14ac:dyDescent="0.35">
      <c r="B4528" s="29"/>
    </row>
    <row r="4529" spans="2:2" hidden="1" x14ac:dyDescent="0.35">
      <c r="B4529" s="29"/>
    </row>
    <row r="4530" spans="2:2" hidden="1" x14ac:dyDescent="0.35">
      <c r="B4530" s="29"/>
    </row>
    <row r="4531" spans="2:2" hidden="1" x14ac:dyDescent="0.35">
      <c r="B4531" s="29"/>
    </row>
    <row r="4532" spans="2:2" hidden="1" x14ac:dyDescent="0.35">
      <c r="B4532" s="29"/>
    </row>
    <row r="4533" spans="2:2" hidden="1" x14ac:dyDescent="0.35">
      <c r="B4533" s="29"/>
    </row>
    <row r="4534" spans="2:2" hidden="1" x14ac:dyDescent="0.35">
      <c r="B4534" s="29"/>
    </row>
    <row r="4535" spans="2:2" hidden="1" x14ac:dyDescent="0.35">
      <c r="B4535" s="29"/>
    </row>
    <row r="4536" spans="2:2" hidden="1" x14ac:dyDescent="0.35">
      <c r="B4536" s="29"/>
    </row>
    <row r="4537" spans="2:2" hidden="1" x14ac:dyDescent="0.35">
      <c r="B4537" s="29"/>
    </row>
    <row r="4538" spans="2:2" hidden="1" x14ac:dyDescent="0.35">
      <c r="B4538" s="29"/>
    </row>
    <row r="4539" spans="2:2" hidden="1" x14ac:dyDescent="0.35">
      <c r="B4539" s="29"/>
    </row>
    <row r="4540" spans="2:2" hidden="1" x14ac:dyDescent="0.35">
      <c r="B4540" s="29"/>
    </row>
    <row r="4541" spans="2:2" hidden="1" x14ac:dyDescent="0.35">
      <c r="B4541" s="29"/>
    </row>
    <row r="4542" spans="2:2" hidden="1" x14ac:dyDescent="0.35">
      <c r="B4542" s="29"/>
    </row>
    <row r="4543" spans="2:2" hidden="1" x14ac:dyDescent="0.35">
      <c r="B4543" s="29"/>
    </row>
    <row r="4544" spans="2:2" hidden="1" x14ac:dyDescent="0.35">
      <c r="B4544" s="29"/>
    </row>
    <row r="4545" spans="2:2" hidden="1" x14ac:dyDescent="0.35">
      <c r="B4545" s="29"/>
    </row>
    <row r="4546" spans="2:2" hidden="1" x14ac:dyDescent="0.35">
      <c r="B4546" s="29"/>
    </row>
    <row r="4547" spans="2:2" hidden="1" x14ac:dyDescent="0.35">
      <c r="B4547" s="29"/>
    </row>
    <row r="4548" spans="2:2" hidden="1" x14ac:dyDescent="0.35">
      <c r="B4548" s="29"/>
    </row>
    <row r="4549" spans="2:2" hidden="1" x14ac:dyDescent="0.35">
      <c r="B4549" s="29"/>
    </row>
    <row r="4550" spans="2:2" hidden="1" x14ac:dyDescent="0.35">
      <c r="B4550" s="29"/>
    </row>
    <row r="4551" spans="2:2" hidden="1" x14ac:dyDescent="0.35">
      <c r="B4551" s="29"/>
    </row>
    <row r="4552" spans="2:2" hidden="1" x14ac:dyDescent="0.35">
      <c r="B4552" s="29"/>
    </row>
    <row r="4553" spans="2:2" hidden="1" x14ac:dyDescent="0.35">
      <c r="B4553" s="29"/>
    </row>
    <row r="4554" spans="2:2" hidden="1" x14ac:dyDescent="0.35">
      <c r="B4554" s="29"/>
    </row>
    <row r="4555" spans="2:2" hidden="1" x14ac:dyDescent="0.35">
      <c r="B4555" s="29"/>
    </row>
    <row r="4556" spans="2:2" hidden="1" x14ac:dyDescent="0.35">
      <c r="B4556" s="29"/>
    </row>
    <row r="4557" spans="2:2" hidden="1" x14ac:dyDescent="0.35">
      <c r="B4557" s="29"/>
    </row>
    <row r="4558" spans="2:2" hidden="1" x14ac:dyDescent="0.35">
      <c r="B4558" s="29"/>
    </row>
    <row r="4559" spans="2:2" hidden="1" x14ac:dyDescent="0.35">
      <c r="B4559" s="29"/>
    </row>
    <row r="4560" spans="2:2" hidden="1" x14ac:dyDescent="0.35">
      <c r="B4560" s="29"/>
    </row>
    <row r="4561" spans="2:2" hidden="1" x14ac:dyDescent="0.35">
      <c r="B4561" s="29"/>
    </row>
    <row r="4562" spans="2:2" hidden="1" x14ac:dyDescent="0.35">
      <c r="B4562" s="29"/>
    </row>
    <row r="4563" spans="2:2" hidden="1" x14ac:dyDescent="0.35">
      <c r="B4563" s="29"/>
    </row>
    <row r="4564" spans="2:2" hidden="1" x14ac:dyDescent="0.35">
      <c r="B4564" s="29"/>
    </row>
    <row r="4565" spans="2:2" hidden="1" x14ac:dyDescent="0.35">
      <c r="B4565" s="29"/>
    </row>
    <row r="4566" spans="2:2" hidden="1" x14ac:dyDescent="0.35">
      <c r="B4566" s="29"/>
    </row>
    <row r="4567" spans="2:2" hidden="1" x14ac:dyDescent="0.35">
      <c r="B4567" s="29"/>
    </row>
    <row r="4568" spans="2:2" hidden="1" x14ac:dyDescent="0.35">
      <c r="B4568" s="29"/>
    </row>
    <row r="4569" spans="2:2" hidden="1" x14ac:dyDescent="0.35">
      <c r="B4569" s="29"/>
    </row>
    <row r="4570" spans="2:2" hidden="1" x14ac:dyDescent="0.35">
      <c r="B4570" s="29"/>
    </row>
    <row r="4571" spans="2:2" hidden="1" x14ac:dyDescent="0.35">
      <c r="B4571" s="29"/>
    </row>
    <row r="4572" spans="2:2" hidden="1" x14ac:dyDescent="0.35">
      <c r="B4572" s="29"/>
    </row>
    <row r="4573" spans="2:2" hidden="1" x14ac:dyDescent="0.35">
      <c r="B4573" s="29"/>
    </row>
    <row r="4574" spans="2:2" hidden="1" x14ac:dyDescent="0.35">
      <c r="B4574" s="29"/>
    </row>
    <row r="4575" spans="2:2" hidden="1" x14ac:dyDescent="0.35">
      <c r="B4575" s="29"/>
    </row>
    <row r="4576" spans="2:2" hidden="1" x14ac:dyDescent="0.35">
      <c r="B4576" s="29"/>
    </row>
    <row r="4577" spans="2:2" hidden="1" x14ac:dyDescent="0.35">
      <c r="B4577" s="29"/>
    </row>
    <row r="4578" spans="2:2" hidden="1" x14ac:dyDescent="0.35">
      <c r="B4578" s="29"/>
    </row>
    <row r="4579" spans="2:2" hidden="1" x14ac:dyDescent="0.35">
      <c r="B4579" s="29"/>
    </row>
    <row r="4580" spans="2:2" hidden="1" x14ac:dyDescent="0.35">
      <c r="B4580" s="29"/>
    </row>
    <row r="4581" spans="2:2" hidden="1" x14ac:dyDescent="0.35">
      <c r="B4581" s="29"/>
    </row>
    <row r="4582" spans="2:2" hidden="1" x14ac:dyDescent="0.35">
      <c r="B4582" s="29"/>
    </row>
    <row r="4583" spans="2:2" hidden="1" x14ac:dyDescent="0.35">
      <c r="B4583" s="29"/>
    </row>
    <row r="4584" spans="2:2" hidden="1" x14ac:dyDescent="0.35">
      <c r="B4584" s="29"/>
    </row>
    <row r="4585" spans="2:2" hidden="1" x14ac:dyDescent="0.35">
      <c r="B4585" s="29"/>
    </row>
    <row r="4586" spans="2:2" hidden="1" x14ac:dyDescent="0.35">
      <c r="B4586" s="29"/>
    </row>
    <row r="4587" spans="2:2" hidden="1" x14ac:dyDescent="0.35">
      <c r="B4587" s="29"/>
    </row>
    <row r="4588" spans="2:2" hidden="1" x14ac:dyDescent="0.35">
      <c r="B4588" s="29"/>
    </row>
    <row r="4589" spans="2:2" hidden="1" x14ac:dyDescent="0.35">
      <c r="B4589" s="29"/>
    </row>
    <row r="4590" spans="2:2" hidden="1" x14ac:dyDescent="0.35">
      <c r="B4590" s="29"/>
    </row>
    <row r="4591" spans="2:2" hidden="1" x14ac:dyDescent="0.35">
      <c r="B4591" s="29"/>
    </row>
    <row r="4592" spans="2:2" hidden="1" x14ac:dyDescent="0.35">
      <c r="B4592" s="29"/>
    </row>
    <row r="4593" spans="2:2" hidden="1" x14ac:dyDescent="0.35">
      <c r="B4593" s="29"/>
    </row>
    <row r="4594" spans="2:2" hidden="1" x14ac:dyDescent="0.35">
      <c r="B4594" s="29"/>
    </row>
    <row r="4595" spans="2:2" hidden="1" x14ac:dyDescent="0.35">
      <c r="B4595" s="29"/>
    </row>
    <row r="4596" spans="2:2" hidden="1" x14ac:dyDescent="0.35">
      <c r="B4596" s="29"/>
    </row>
    <row r="4597" spans="2:2" hidden="1" x14ac:dyDescent="0.35">
      <c r="B4597" s="29"/>
    </row>
    <row r="4598" spans="2:2" hidden="1" x14ac:dyDescent="0.35">
      <c r="B4598" s="29"/>
    </row>
    <row r="4599" spans="2:2" hidden="1" x14ac:dyDescent="0.35">
      <c r="B4599" s="29"/>
    </row>
    <row r="4600" spans="2:2" hidden="1" x14ac:dyDescent="0.35">
      <c r="B4600" s="29"/>
    </row>
    <row r="4601" spans="2:2" hidden="1" x14ac:dyDescent="0.35">
      <c r="B4601" s="29"/>
    </row>
    <row r="4602" spans="2:2" hidden="1" x14ac:dyDescent="0.35">
      <c r="B4602" s="29"/>
    </row>
    <row r="4603" spans="2:2" ht="15.5" hidden="1" thickBot="1" x14ac:dyDescent="0.4">
      <c r="B4603" s="32"/>
    </row>
    <row r="4604" spans="2:2" x14ac:dyDescent="0.35"/>
    <row r="4605" spans="2:2" x14ac:dyDescent="0.35"/>
    <row r="4606" spans="2:2" x14ac:dyDescent="0.35"/>
    <row r="4607" spans="2:2" x14ac:dyDescent="0.35"/>
    <row r="4608" spans="2:2" x14ac:dyDescent="0.35"/>
    <row r="4609" x14ac:dyDescent="0.35"/>
    <row r="4610" x14ac:dyDescent="0.35"/>
    <row r="4611" x14ac:dyDescent="0.35"/>
    <row r="4612" x14ac:dyDescent="0.35"/>
    <row r="4613" x14ac:dyDescent="0.35"/>
    <row r="4614" x14ac:dyDescent="0.35"/>
    <row r="4615" x14ac:dyDescent="0.35"/>
    <row r="4616" x14ac:dyDescent="0.35"/>
    <row r="4617" x14ac:dyDescent="0.35"/>
    <row r="4618" x14ac:dyDescent="0.35"/>
    <row r="4619" x14ac:dyDescent="0.35"/>
    <row r="4620" x14ac:dyDescent="0.35"/>
    <row r="4621" x14ac:dyDescent="0.35"/>
    <row r="4622" x14ac:dyDescent="0.35"/>
    <row r="4623" x14ac:dyDescent="0.35"/>
    <row r="4624" x14ac:dyDescent="0.35"/>
    <row r="4625" x14ac:dyDescent="0.35"/>
    <row r="4626" x14ac:dyDescent="0.35"/>
    <row r="4627" x14ac:dyDescent="0.35"/>
    <row r="4628" x14ac:dyDescent="0.35"/>
    <row r="4629" x14ac:dyDescent="0.35"/>
    <row r="4630" x14ac:dyDescent="0.35"/>
    <row r="4631" x14ac:dyDescent="0.35"/>
    <row r="4632" x14ac:dyDescent="0.35"/>
    <row r="4633" x14ac:dyDescent="0.35"/>
    <row r="4634" x14ac:dyDescent="0.35"/>
    <row r="4635" x14ac:dyDescent="0.35"/>
    <row r="4636" x14ac:dyDescent="0.35"/>
    <row r="4637" x14ac:dyDescent="0.35"/>
    <row r="4638" x14ac:dyDescent="0.35"/>
    <row r="4639" x14ac:dyDescent="0.35"/>
    <row r="4640" x14ac:dyDescent="0.35"/>
    <row r="4641" x14ac:dyDescent="0.35"/>
    <row r="4642" x14ac:dyDescent="0.35"/>
    <row r="4643" x14ac:dyDescent="0.35"/>
    <row r="4644" x14ac:dyDescent="0.35"/>
    <row r="4645" x14ac:dyDescent="0.35"/>
    <row r="4646" x14ac:dyDescent="0.35"/>
    <row r="4647" x14ac:dyDescent="0.35"/>
    <row r="4648" x14ac:dyDescent="0.35"/>
    <row r="4649" x14ac:dyDescent="0.35"/>
    <row r="4650" x14ac:dyDescent="0.35"/>
    <row r="4651" x14ac:dyDescent="0.35"/>
    <row r="4652" x14ac:dyDescent="0.35"/>
    <row r="4653" x14ac:dyDescent="0.35"/>
    <row r="4654" x14ac:dyDescent="0.35"/>
    <row r="4655" x14ac:dyDescent="0.35"/>
    <row r="4656" x14ac:dyDescent="0.35"/>
    <row r="4657" x14ac:dyDescent="0.35"/>
    <row r="4658" x14ac:dyDescent="0.35"/>
    <row r="4659" x14ac:dyDescent="0.35"/>
    <row r="4660" x14ac:dyDescent="0.35"/>
    <row r="4661" x14ac:dyDescent="0.35"/>
    <row r="4662" x14ac:dyDescent="0.35"/>
    <row r="4663" x14ac:dyDescent="0.35"/>
  </sheetData>
  <phoneticPr fontId="9"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tabColor theme="3" tint="0.59999389629810485"/>
  </sheetPr>
  <dimension ref="B2:H4627"/>
  <sheetViews>
    <sheetView topLeftCell="C1" zoomScaleNormal="100" zoomScalePageLayoutView="90" workbookViewId="0">
      <selection activeCell="J10" sqref="J10"/>
    </sheetView>
  </sheetViews>
  <sheetFormatPr defaultColWidth="7" defaultRowHeight="15" x14ac:dyDescent="0.35"/>
  <cols>
    <col min="1" max="1" width="4.1796875" style="13" customWidth="1"/>
    <col min="2" max="2" width="17.6328125" style="13" customWidth="1"/>
    <col min="3" max="3" width="68.08984375" style="13" customWidth="1"/>
    <col min="4" max="4" width="12.6328125" style="13" customWidth="1"/>
    <col min="5" max="5" width="20.36328125" style="13" bestFit="1" customWidth="1"/>
    <col min="6" max="6" width="20.54296875" style="13" customWidth="1"/>
    <col min="7" max="7" width="8.90625" style="13" bestFit="1" customWidth="1"/>
    <col min="8" max="8" width="8.453125" style="13" bestFit="1" customWidth="1"/>
    <col min="9" max="16384" width="7" style="13"/>
  </cols>
  <sheetData>
    <row r="2" spans="2:8" x14ac:dyDescent="0.35">
      <c r="B2" s="14" t="s">
        <v>17</v>
      </c>
      <c r="C2" s="33"/>
      <c r="D2" s="33"/>
      <c r="E2" s="33"/>
      <c r="F2" s="33"/>
    </row>
    <row r="3" spans="2:8" ht="30" x14ac:dyDescent="0.35">
      <c r="B3" s="15" t="s">
        <v>18</v>
      </c>
      <c r="C3" s="16" t="s">
        <v>130</v>
      </c>
      <c r="D3" s="16" t="s">
        <v>60</v>
      </c>
      <c r="E3" s="16" t="s">
        <v>131</v>
      </c>
      <c r="F3" s="15" t="s">
        <v>81</v>
      </c>
      <c r="G3" s="13" t="s">
        <v>256</v>
      </c>
    </row>
    <row r="4" spans="2:8" ht="45" x14ac:dyDescent="0.35">
      <c r="B4" s="37" t="s">
        <v>195</v>
      </c>
      <c r="C4" s="21" t="s">
        <v>170</v>
      </c>
      <c r="D4" s="18" t="s">
        <v>62</v>
      </c>
      <c r="E4" s="19">
        <v>4</v>
      </c>
      <c r="F4" s="19" t="s">
        <v>230</v>
      </c>
    </row>
    <row r="5" spans="2:8" x14ac:dyDescent="0.35">
      <c r="B5" s="37"/>
      <c r="C5" s="21" t="s">
        <v>171</v>
      </c>
      <c r="D5" s="18" t="s">
        <v>62</v>
      </c>
      <c r="E5" s="19">
        <v>4</v>
      </c>
      <c r="F5" s="19"/>
    </row>
    <row r="6" spans="2:8" x14ac:dyDescent="0.35">
      <c r="B6" s="37"/>
      <c r="C6" s="21" t="s">
        <v>74</v>
      </c>
      <c r="D6" s="18" t="s">
        <v>65</v>
      </c>
      <c r="E6" s="19" t="s">
        <v>225</v>
      </c>
      <c r="F6" s="19"/>
    </row>
    <row r="7" spans="2:8" x14ac:dyDescent="0.35">
      <c r="B7" s="37"/>
      <c r="C7" s="18" t="s">
        <v>75</v>
      </c>
      <c r="D7" s="18" t="s">
        <v>62</v>
      </c>
      <c r="E7" s="19">
        <v>5</v>
      </c>
      <c r="F7" s="19"/>
    </row>
    <row r="8" spans="2:8" x14ac:dyDescent="0.35">
      <c r="B8" s="37"/>
      <c r="C8" s="18" t="s">
        <v>77</v>
      </c>
      <c r="D8" s="18" t="s">
        <v>62</v>
      </c>
      <c r="E8" s="19">
        <v>2</v>
      </c>
      <c r="F8" s="19"/>
      <c r="G8" s="13" t="s">
        <v>265</v>
      </c>
      <c r="H8" s="66">
        <f>(E8/E7)</f>
        <v>0.4</v>
      </c>
    </row>
    <row r="9" spans="2:8" x14ac:dyDescent="0.35">
      <c r="B9" s="37"/>
      <c r="C9" s="18" t="s">
        <v>76</v>
      </c>
      <c r="D9" s="18" t="s">
        <v>62</v>
      </c>
      <c r="E9" s="56">
        <v>8000000</v>
      </c>
      <c r="F9" s="19"/>
    </row>
    <row r="10" spans="2:8" x14ac:dyDescent="0.35">
      <c r="B10" s="37"/>
      <c r="C10" s="18" t="s">
        <v>19</v>
      </c>
      <c r="D10" s="18" t="s">
        <v>65</v>
      </c>
      <c r="E10" s="19" t="s">
        <v>223</v>
      </c>
      <c r="F10" s="19"/>
    </row>
    <row r="11" spans="2:8" ht="30" x14ac:dyDescent="0.35">
      <c r="B11" s="37"/>
      <c r="C11" s="18" t="s">
        <v>108</v>
      </c>
      <c r="D11" s="18" t="s">
        <v>65</v>
      </c>
      <c r="E11" s="19" t="s">
        <v>223</v>
      </c>
      <c r="F11" s="19"/>
    </row>
    <row r="12" spans="2:8" x14ac:dyDescent="0.35">
      <c r="B12" s="37"/>
      <c r="C12" s="18" t="s">
        <v>82</v>
      </c>
      <c r="D12" s="18" t="s">
        <v>65</v>
      </c>
      <c r="E12" s="19" t="s">
        <v>223</v>
      </c>
      <c r="F12" s="19"/>
    </row>
    <row r="13" spans="2:8" x14ac:dyDescent="0.35">
      <c r="B13" s="37"/>
      <c r="C13" s="18" t="s">
        <v>83</v>
      </c>
      <c r="D13" s="18" t="s">
        <v>65</v>
      </c>
      <c r="E13" s="19" t="s">
        <v>223</v>
      </c>
      <c r="F13" s="19"/>
    </row>
    <row r="14" spans="2:8" x14ac:dyDescent="0.35">
      <c r="B14" s="37"/>
      <c r="C14" s="18" t="s">
        <v>78</v>
      </c>
      <c r="D14" s="18" t="s">
        <v>65</v>
      </c>
      <c r="E14" s="19" t="s">
        <v>223</v>
      </c>
      <c r="F14" s="19"/>
    </row>
    <row r="15" spans="2:8" x14ac:dyDescent="0.35">
      <c r="B15" s="37"/>
      <c r="C15" s="18" t="s">
        <v>84</v>
      </c>
      <c r="D15" s="18" t="s">
        <v>65</v>
      </c>
      <c r="E15" s="19" t="s">
        <v>223</v>
      </c>
      <c r="F15" s="19"/>
    </row>
    <row r="16" spans="2:8" ht="30" x14ac:dyDescent="0.35">
      <c r="B16" s="37"/>
      <c r="C16" s="18" t="s">
        <v>20</v>
      </c>
      <c r="D16" s="18" t="s">
        <v>65</v>
      </c>
      <c r="E16" s="19" t="s">
        <v>223</v>
      </c>
      <c r="F16" s="19"/>
    </row>
    <row r="17" spans="2:6" ht="30" x14ac:dyDescent="0.35">
      <c r="B17" s="37"/>
      <c r="C17" s="18" t="s">
        <v>85</v>
      </c>
      <c r="D17" s="18" t="s">
        <v>65</v>
      </c>
      <c r="E17" s="19" t="s">
        <v>225</v>
      </c>
      <c r="F17" s="19"/>
    </row>
    <row r="18" spans="2:6" x14ac:dyDescent="0.35">
      <c r="B18" s="37"/>
      <c r="C18" s="18" t="s">
        <v>98</v>
      </c>
      <c r="D18" s="18" t="s">
        <v>65</v>
      </c>
      <c r="E18" s="19" t="s">
        <v>223</v>
      </c>
      <c r="F18" s="19"/>
    </row>
    <row r="19" spans="2:6" ht="30" x14ac:dyDescent="0.35">
      <c r="B19" s="37"/>
      <c r="C19" s="21" t="s">
        <v>114</v>
      </c>
      <c r="D19" s="21" t="s">
        <v>65</v>
      </c>
      <c r="E19" s="19" t="s">
        <v>223</v>
      </c>
      <c r="F19" s="19"/>
    </row>
    <row r="20" spans="2:6" ht="30" x14ac:dyDescent="0.35">
      <c r="B20" s="37"/>
      <c r="C20" s="21" t="s">
        <v>115</v>
      </c>
      <c r="D20" s="21" t="s">
        <v>65</v>
      </c>
      <c r="E20" s="19" t="s">
        <v>223</v>
      </c>
      <c r="F20" s="19"/>
    </row>
    <row r="21" spans="2:6" x14ac:dyDescent="0.35">
      <c r="B21" s="37"/>
      <c r="C21" s="21" t="s">
        <v>99</v>
      </c>
      <c r="D21" s="21" t="s">
        <v>65</v>
      </c>
      <c r="E21" s="19" t="s">
        <v>223</v>
      </c>
      <c r="F21" s="19"/>
    </row>
    <row r="22" spans="2:6" x14ac:dyDescent="0.35">
      <c r="B22" s="25"/>
      <c r="C22" s="26"/>
      <c r="D22" s="26"/>
      <c r="E22" s="23"/>
      <c r="F22" s="23"/>
    </row>
    <row r="23" spans="2:6" x14ac:dyDescent="0.35">
      <c r="B23" s="37" t="s">
        <v>196</v>
      </c>
      <c r="C23" s="18" t="s">
        <v>86</v>
      </c>
      <c r="D23" s="18" t="s">
        <v>65</v>
      </c>
      <c r="E23" s="19" t="s">
        <v>223</v>
      </c>
      <c r="F23" s="19"/>
    </row>
    <row r="24" spans="2:6" x14ac:dyDescent="0.35">
      <c r="B24" s="37"/>
      <c r="C24" s="18" t="s">
        <v>21</v>
      </c>
      <c r="D24" s="18" t="s">
        <v>65</v>
      </c>
      <c r="E24" s="19" t="s">
        <v>223</v>
      </c>
      <c r="F24" s="19"/>
    </row>
    <row r="25" spans="2:6" ht="30" x14ac:dyDescent="0.35">
      <c r="B25" s="37"/>
      <c r="C25" s="18" t="s">
        <v>22</v>
      </c>
      <c r="D25" s="18" t="s">
        <v>65</v>
      </c>
      <c r="E25" s="19" t="s">
        <v>223</v>
      </c>
      <c r="F25" s="19"/>
    </row>
    <row r="26" spans="2:6" x14ac:dyDescent="0.35">
      <c r="B26" s="37"/>
      <c r="C26" s="18" t="s">
        <v>23</v>
      </c>
      <c r="D26" s="18" t="s">
        <v>65</v>
      </c>
      <c r="E26" s="19" t="s">
        <v>223</v>
      </c>
      <c r="F26" s="19"/>
    </row>
    <row r="27" spans="2:6" x14ac:dyDescent="0.35">
      <c r="B27" s="37"/>
      <c r="C27" s="18" t="s">
        <v>24</v>
      </c>
      <c r="D27" s="18" t="s">
        <v>65</v>
      </c>
      <c r="E27" s="19" t="s">
        <v>223</v>
      </c>
      <c r="F27" s="19"/>
    </row>
    <row r="28" spans="2:6" ht="30" x14ac:dyDescent="0.35">
      <c r="B28" s="37"/>
      <c r="C28" s="18" t="s">
        <v>25</v>
      </c>
      <c r="D28" s="18" t="s">
        <v>65</v>
      </c>
      <c r="E28" s="19" t="s">
        <v>223</v>
      </c>
      <c r="F28" s="19"/>
    </row>
    <row r="29" spans="2:6" x14ac:dyDescent="0.35">
      <c r="B29" s="37"/>
      <c r="C29" s="21" t="s">
        <v>158</v>
      </c>
      <c r="D29" s="18" t="s">
        <v>65</v>
      </c>
      <c r="E29" s="19" t="s">
        <v>223</v>
      </c>
      <c r="F29" s="19"/>
    </row>
    <row r="30" spans="2:6" x14ac:dyDescent="0.35">
      <c r="B30" s="37"/>
      <c r="C30" s="18" t="s">
        <v>26</v>
      </c>
      <c r="D30" s="18" t="s">
        <v>65</v>
      </c>
      <c r="E30" s="19" t="s">
        <v>223</v>
      </c>
      <c r="F30" s="19"/>
    </row>
    <row r="31" spans="2:6" x14ac:dyDescent="0.35">
      <c r="B31" s="37"/>
      <c r="C31" s="18" t="s">
        <v>27</v>
      </c>
      <c r="D31" s="18" t="s">
        <v>65</v>
      </c>
      <c r="E31" s="19" t="s">
        <v>223</v>
      </c>
      <c r="F31" s="19"/>
    </row>
    <row r="32" spans="2:6" x14ac:dyDescent="0.35">
      <c r="B32" s="25"/>
      <c r="C32" s="23"/>
      <c r="D32" s="23"/>
      <c r="E32" s="23"/>
      <c r="F32" s="23"/>
    </row>
    <row r="33" spans="2:6" ht="45" x14ac:dyDescent="0.35">
      <c r="B33" s="52" t="s">
        <v>28</v>
      </c>
      <c r="C33" s="21" t="s">
        <v>109</v>
      </c>
      <c r="D33" s="21" t="s">
        <v>65</v>
      </c>
      <c r="E33" s="19" t="s">
        <v>234</v>
      </c>
      <c r="F33" s="19"/>
    </row>
    <row r="34" spans="2:6" ht="30" x14ac:dyDescent="0.35">
      <c r="B34" s="37"/>
      <c r="C34" s="21" t="s">
        <v>215</v>
      </c>
      <c r="D34" s="21" t="s">
        <v>65</v>
      </c>
      <c r="E34" s="19" t="s">
        <v>234</v>
      </c>
      <c r="F34" s="19"/>
    </row>
    <row r="35" spans="2:6" x14ac:dyDescent="0.35">
      <c r="B35" s="37"/>
      <c r="C35" s="21" t="s">
        <v>159</v>
      </c>
      <c r="D35" s="21" t="s">
        <v>65</v>
      </c>
      <c r="E35" s="19" t="s">
        <v>234</v>
      </c>
      <c r="F35" s="19"/>
    </row>
    <row r="36" spans="2:6" x14ac:dyDescent="0.35">
      <c r="B36" s="37"/>
      <c r="C36" s="21" t="s">
        <v>160</v>
      </c>
      <c r="D36" s="21" t="s">
        <v>65</v>
      </c>
      <c r="E36" s="19" t="s">
        <v>234</v>
      </c>
      <c r="F36" s="19"/>
    </row>
    <row r="37" spans="2:6" x14ac:dyDescent="0.35">
      <c r="B37" s="37"/>
      <c r="C37" s="21" t="s">
        <v>161</v>
      </c>
      <c r="D37" s="21" t="s">
        <v>65</v>
      </c>
      <c r="E37" s="19" t="s">
        <v>234</v>
      </c>
      <c r="F37" s="19"/>
    </row>
    <row r="38" spans="2:6" x14ac:dyDescent="0.35">
      <c r="B38" s="37"/>
      <c r="C38" s="21" t="s">
        <v>162</v>
      </c>
      <c r="D38" s="21" t="s">
        <v>65</v>
      </c>
      <c r="E38" s="19" t="s">
        <v>234</v>
      </c>
      <c r="F38" s="19"/>
    </row>
    <row r="39" spans="2:6" ht="30" x14ac:dyDescent="0.35">
      <c r="B39" s="37"/>
      <c r="C39" s="21" t="s">
        <v>217</v>
      </c>
      <c r="D39" s="21" t="s">
        <v>65</v>
      </c>
      <c r="E39" s="19" t="s">
        <v>234</v>
      </c>
      <c r="F39" s="19"/>
    </row>
    <row r="40" spans="2:6" ht="30" x14ac:dyDescent="0.35">
      <c r="B40" s="37"/>
      <c r="C40" s="21" t="s">
        <v>191</v>
      </c>
      <c r="D40" s="21" t="s">
        <v>65</v>
      </c>
      <c r="E40" s="19" t="s">
        <v>235</v>
      </c>
      <c r="F40" s="19"/>
    </row>
    <row r="41" spans="2:6" x14ac:dyDescent="0.35">
      <c r="B41" s="37"/>
      <c r="C41" s="21" t="s">
        <v>192</v>
      </c>
      <c r="D41" s="21" t="s">
        <v>107</v>
      </c>
      <c r="E41" s="19" t="s">
        <v>236</v>
      </c>
      <c r="F41" s="19"/>
    </row>
    <row r="42" spans="2:6" ht="90" x14ac:dyDescent="0.35">
      <c r="B42" s="37"/>
      <c r="C42" s="21" t="s">
        <v>163</v>
      </c>
      <c r="D42" s="21" t="s">
        <v>267</v>
      </c>
      <c r="E42" s="19" t="s">
        <v>237</v>
      </c>
      <c r="F42" s="19"/>
    </row>
    <row r="43" spans="2:6" x14ac:dyDescent="0.35">
      <c r="B43" s="23"/>
      <c r="C43" s="23"/>
      <c r="D43" s="23"/>
      <c r="E43" s="23"/>
      <c r="F43" s="23"/>
    </row>
    <row r="44" spans="2:6" x14ac:dyDescent="0.35">
      <c r="B44" s="37" t="s">
        <v>29</v>
      </c>
      <c r="C44" s="21" t="s">
        <v>164</v>
      </c>
      <c r="D44" s="21" t="s">
        <v>219</v>
      </c>
      <c r="E44" s="19" t="s">
        <v>223</v>
      </c>
      <c r="F44" s="19"/>
    </row>
    <row r="45" spans="2:6" ht="30" x14ac:dyDescent="0.35">
      <c r="B45" s="37"/>
      <c r="C45" s="21" t="s">
        <v>165</v>
      </c>
      <c r="D45" s="21" t="s">
        <v>65</v>
      </c>
      <c r="E45" s="19" t="s">
        <v>223</v>
      </c>
      <c r="F45" s="19"/>
    </row>
    <row r="46" spans="2:6" x14ac:dyDescent="0.35">
      <c r="B46" s="37"/>
      <c r="C46" s="21" t="s">
        <v>166</v>
      </c>
      <c r="D46" s="21" t="s">
        <v>65</v>
      </c>
      <c r="E46" s="19" t="s">
        <v>223</v>
      </c>
      <c r="F46" s="19"/>
    </row>
    <row r="47" spans="2:6" x14ac:dyDescent="0.35">
      <c r="B47" s="37"/>
      <c r="C47" s="21" t="s">
        <v>30</v>
      </c>
      <c r="D47" s="21" t="s">
        <v>65</v>
      </c>
      <c r="E47" s="19" t="s">
        <v>223</v>
      </c>
      <c r="F47" s="19"/>
    </row>
    <row r="48" spans="2:6" x14ac:dyDescent="0.35">
      <c r="B48" s="37"/>
      <c r="C48" s="21" t="s">
        <v>31</v>
      </c>
      <c r="D48" s="21" t="s">
        <v>65</v>
      </c>
      <c r="E48" s="19" t="s">
        <v>223</v>
      </c>
      <c r="F48" s="19"/>
    </row>
    <row r="49" spans="2:6" x14ac:dyDescent="0.35">
      <c r="B49" s="37"/>
      <c r="C49" s="21" t="s">
        <v>167</v>
      </c>
      <c r="D49" s="21" t="s">
        <v>65</v>
      </c>
      <c r="E49" s="19" t="s">
        <v>223</v>
      </c>
      <c r="F49" s="19"/>
    </row>
    <row r="50" spans="2:6" x14ac:dyDescent="0.35">
      <c r="B50" s="37"/>
      <c r="C50" s="21" t="s">
        <v>168</v>
      </c>
      <c r="D50" s="21" t="s">
        <v>65</v>
      </c>
      <c r="E50" s="19" t="s">
        <v>223</v>
      </c>
      <c r="F50" s="19"/>
    </row>
    <row r="51" spans="2:6" x14ac:dyDescent="0.35">
      <c r="B51" s="37"/>
      <c r="C51" s="21" t="s">
        <v>110</v>
      </c>
      <c r="D51" s="21" t="s">
        <v>65</v>
      </c>
      <c r="E51" s="19" t="s">
        <v>223</v>
      </c>
      <c r="F51" s="19"/>
    </row>
    <row r="52" spans="2:6" ht="30" x14ac:dyDescent="0.35">
      <c r="B52" s="37"/>
      <c r="C52" s="21" t="s">
        <v>189</v>
      </c>
      <c r="D52" s="21" t="s">
        <v>65</v>
      </c>
      <c r="E52" s="19" t="s">
        <v>225</v>
      </c>
      <c r="F52" s="19"/>
    </row>
    <row r="53" spans="2:6" x14ac:dyDescent="0.35">
      <c r="B53" s="26"/>
      <c r="C53" s="26"/>
      <c r="D53" s="26"/>
      <c r="E53" s="23"/>
      <c r="F53" s="23"/>
    </row>
    <row r="54" spans="2:6" ht="30" x14ac:dyDescent="0.35">
      <c r="B54" s="37" t="s">
        <v>197</v>
      </c>
      <c r="C54" s="21" t="s">
        <v>32</v>
      </c>
      <c r="D54" s="21" t="s">
        <v>65</v>
      </c>
      <c r="E54" s="19" t="s">
        <v>223</v>
      </c>
      <c r="F54" s="19"/>
    </row>
    <row r="55" spans="2:6" ht="30" x14ac:dyDescent="0.35">
      <c r="B55" s="37"/>
      <c r="C55" s="21" t="s">
        <v>80</v>
      </c>
      <c r="D55" s="21" t="s">
        <v>65</v>
      </c>
      <c r="E55" s="19" t="s">
        <v>223</v>
      </c>
      <c r="F55" s="19"/>
    </row>
    <row r="56" spans="2:6" x14ac:dyDescent="0.35">
      <c r="B56" s="37"/>
      <c r="C56" s="21" t="s">
        <v>79</v>
      </c>
      <c r="D56" s="21" t="s">
        <v>65</v>
      </c>
      <c r="E56" s="19" t="s">
        <v>223</v>
      </c>
      <c r="F56" s="19"/>
    </row>
    <row r="57" spans="2:6" x14ac:dyDescent="0.35">
      <c r="B57" s="37"/>
      <c r="C57" s="21" t="s">
        <v>169</v>
      </c>
      <c r="D57" s="21" t="s">
        <v>62</v>
      </c>
      <c r="E57" s="19" t="s">
        <v>231</v>
      </c>
      <c r="F57" s="19"/>
    </row>
    <row r="58" spans="2:6" ht="30" x14ac:dyDescent="0.35">
      <c r="B58" s="37"/>
      <c r="C58" s="21" t="s">
        <v>190</v>
      </c>
      <c r="D58" s="21" t="s">
        <v>65</v>
      </c>
      <c r="E58" s="19" t="s">
        <v>223</v>
      </c>
      <c r="F58" s="19"/>
    </row>
    <row r="59" spans="2:6" ht="30" x14ac:dyDescent="0.35">
      <c r="B59" s="37"/>
      <c r="C59" s="21" t="s">
        <v>111</v>
      </c>
      <c r="D59" s="21" t="s">
        <v>65</v>
      </c>
      <c r="E59" s="19" t="s">
        <v>223</v>
      </c>
      <c r="F59" s="19"/>
    </row>
    <row r="60" spans="2:6" ht="30" x14ac:dyDescent="0.35">
      <c r="B60" s="37"/>
      <c r="C60" s="21" t="s">
        <v>193</v>
      </c>
      <c r="D60" s="21" t="s">
        <v>65</v>
      </c>
      <c r="E60" s="19" t="s">
        <v>232</v>
      </c>
      <c r="F60" s="19"/>
    </row>
    <row r="122" spans="3:6" x14ac:dyDescent="0.35">
      <c r="C122" s="27"/>
      <c r="D122" s="27"/>
      <c r="E122" s="27"/>
      <c r="F122" s="27"/>
    </row>
    <row r="3622" spans="2:2" x14ac:dyDescent="0.35">
      <c r="B3622" s="28"/>
    </row>
    <row r="3623" spans="2:2" x14ac:dyDescent="0.35">
      <c r="B3623" s="28"/>
    </row>
    <row r="3624" spans="2:2" x14ac:dyDescent="0.35">
      <c r="B3624" s="28"/>
    </row>
    <row r="3625" spans="2:2" x14ac:dyDescent="0.35">
      <c r="B3625" s="28"/>
    </row>
    <row r="3626" spans="2:2" x14ac:dyDescent="0.35">
      <c r="B3626" s="28"/>
    </row>
    <row r="3627" spans="2:2" x14ac:dyDescent="0.35">
      <c r="B3627" s="28"/>
    </row>
    <row r="3628" spans="2:2" x14ac:dyDescent="0.35">
      <c r="B3628" s="28"/>
    </row>
    <row r="3629" spans="2:2" x14ac:dyDescent="0.35">
      <c r="B3629" s="28"/>
    </row>
    <row r="3630" spans="2:2" x14ac:dyDescent="0.35">
      <c r="B3630" s="28"/>
    </row>
    <row r="3631" spans="2:2" x14ac:dyDescent="0.35">
      <c r="B3631" s="28"/>
    </row>
    <row r="3632" spans="2:2" x14ac:dyDescent="0.35">
      <c r="B3632" s="28"/>
    </row>
    <row r="3633" spans="2:2" x14ac:dyDescent="0.35">
      <c r="B3633" s="28"/>
    </row>
    <row r="3634" spans="2:2" x14ac:dyDescent="0.35">
      <c r="B3634" s="28"/>
    </row>
    <row r="3635" spans="2:2" x14ac:dyDescent="0.35">
      <c r="B3635" s="28"/>
    </row>
    <row r="3636" spans="2:2" x14ac:dyDescent="0.35">
      <c r="B3636" s="28"/>
    </row>
    <row r="3637" spans="2:2" x14ac:dyDescent="0.35">
      <c r="B3637" s="28"/>
    </row>
    <row r="3638" spans="2:2" x14ac:dyDescent="0.35">
      <c r="B3638" s="28"/>
    </row>
    <row r="3639" spans="2:2" x14ac:dyDescent="0.35">
      <c r="B3639" s="28"/>
    </row>
    <row r="3640" spans="2:2" x14ac:dyDescent="0.35">
      <c r="B3640" s="28"/>
    </row>
    <row r="3641" spans="2:2" x14ac:dyDescent="0.35">
      <c r="B3641" s="28"/>
    </row>
    <row r="3642" spans="2:2" x14ac:dyDescent="0.35">
      <c r="B3642" s="28"/>
    </row>
    <row r="3643" spans="2:2" x14ac:dyDescent="0.35">
      <c r="B3643" s="28"/>
    </row>
    <row r="3644" spans="2:2" x14ac:dyDescent="0.35">
      <c r="B3644" s="28"/>
    </row>
    <row r="3645" spans="2:2" x14ac:dyDescent="0.35">
      <c r="B3645" s="28"/>
    </row>
    <row r="3646" spans="2:2" x14ac:dyDescent="0.35">
      <c r="B3646" s="28"/>
    </row>
    <row r="3647" spans="2:2" x14ac:dyDescent="0.35">
      <c r="B3647" s="28"/>
    </row>
    <row r="3648" spans="2:2" x14ac:dyDescent="0.35">
      <c r="B3648" s="28"/>
    </row>
    <row r="3649" spans="2:2" x14ac:dyDescent="0.35">
      <c r="B3649" s="28"/>
    </row>
    <row r="3650" spans="2:2" x14ac:dyDescent="0.35">
      <c r="B3650" s="28"/>
    </row>
    <row r="3651" spans="2:2" x14ac:dyDescent="0.35">
      <c r="B3651" s="28"/>
    </row>
    <row r="3652" spans="2:2" x14ac:dyDescent="0.35">
      <c r="B3652" s="28"/>
    </row>
    <row r="3653" spans="2:2" x14ac:dyDescent="0.35">
      <c r="B3653" s="28"/>
    </row>
    <row r="3654" spans="2:2" x14ac:dyDescent="0.35">
      <c r="B3654" s="28"/>
    </row>
    <row r="3655" spans="2:2" x14ac:dyDescent="0.35">
      <c r="B3655" s="28"/>
    </row>
    <row r="3656" spans="2:2" x14ac:dyDescent="0.35">
      <c r="B3656" s="28"/>
    </row>
    <row r="3657" spans="2:2" x14ac:dyDescent="0.35">
      <c r="B3657" s="28"/>
    </row>
    <row r="3658" spans="2:2" x14ac:dyDescent="0.35">
      <c r="B3658" s="28"/>
    </row>
    <row r="3659" spans="2:2" x14ac:dyDescent="0.35">
      <c r="B3659" s="28"/>
    </row>
    <row r="3660" spans="2:2" x14ac:dyDescent="0.35">
      <c r="B3660" s="28"/>
    </row>
    <row r="3661" spans="2:2" x14ac:dyDescent="0.35">
      <c r="B3661" s="28"/>
    </row>
    <row r="3662" spans="2:2" x14ac:dyDescent="0.35">
      <c r="B3662" s="28"/>
    </row>
    <row r="3663" spans="2:2" x14ac:dyDescent="0.35">
      <c r="B3663" s="28"/>
    </row>
    <row r="3664" spans="2:2" x14ac:dyDescent="0.35">
      <c r="B3664" s="28"/>
    </row>
    <row r="3665" spans="2:2" x14ac:dyDescent="0.35">
      <c r="B3665" s="28"/>
    </row>
    <row r="3666" spans="2:2" x14ac:dyDescent="0.35">
      <c r="B3666" s="28"/>
    </row>
    <row r="3667" spans="2:2" x14ac:dyDescent="0.35">
      <c r="B3667" s="28"/>
    </row>
    <row r="3668" spans="2:2" x14ac:dyDescent="0.35">
      <c r="B3668" s="28"/>
    </row>
    <row r="3669" spans="2:2" x14ac:dyDescent="0.35">
      <c r="B3669" s="28"/>
    </row>
    <row r="3670" spans="2:2" x14ac:dyDescent="0.35">
      <c r="B3670" s="28"/>
    </row>
    <row r="3671" spans="2:2" x14ac:dyDescent="0.35">
      <c r="B3671" s="28"/>
    </row>
    <row r="3672" spans="2:2" x14ac:dyDescent="0.35">
      <c r="B3672" s="28"/>
    </row>
    <row r="3673" spans="2:2" x14ac:dyDescent="0.35">
      <c r="B3673" s="28"/>
    </row>
    <row r="3674" spans="2:2" x14ac:dyDescent="0.35">
      <c r="B3674" s="28"/>
    </row>
    <row r="3675" spans="2:2" x14ac:dyDescent="0.35">
      <c r="B3675" s="28"/>
    </row>
    <row r="3676" spans="2:2" x14ac:dyDescent="0.35">
      <c r="B3676" s="28"/>
    </row>
    <row r="3677" spans="2:2" x14ac:dyDescent="0.35">
      <c r="B3677" s="28"/>
    </row>
    <row r="3678" spans="2:2" x14ac:dyDescent="0.35">
      <c r="B3678" s="28"/>
    </row>
    <row r="3679" spans="2:2" x14ac:dyDescent="0.35">
      <c r="B3679" s="28"/>
    </row>
    <row r="3680" spans="2:2" x14ac:dyDescent="0.35">
      <c r="B3680" s="28"/>
    </row>
    <row r="3681" spans="2:2" x14ac:dyDescent="0.35">
      <c r="B3681" s="28"/>
    </row>
    <row r="3682" spans="2:2" x14ac:dyDescent="0.35">
      <c r="B3682" s="28"/>
    </row>
    <row r="3683" spans="2:2" x14ac:dyDescent="0.35">
      <c r="B3683" s="28"/>
    </row>
    <row r="3684" spans="2:2" x14ac:dyDescent="0.35">
      <c r="B3684" s="28"/>
    </row>
    <row r="3685" spans="2:2" x14ac:dyDescent="0.35">
      <c r="B3685" s="28"/>
    </row>
    <row r="3686" spans="2:2" x14ac:dyDescent="0.35">
      <c r="B3686" s="28"/>
    </row>
    <row r="3687" spans="2:2" x14ac:dyDescent="0.35">
      <c r="B3687" s="28"/>
    </row>
    <row r="3688" spans="2:2" x14ac:dyDescent="0.35">
      <c r="B3688" s="28"/>
    </row>
    <row r="3689" spans="2:2" x14ac:dyDescent="0.35">
      <c r="B3689" s="28"/>
    </row>
    <row r="3690" spans="2:2" x14ac:dyDescent="0.35">
      <c r="B3690" s="28"/>
    </row>
    <row r="3691" spans="2:2" x14ac:dyDescent="0.35">
      <c r="B3691" s="28"/>
    </row>
    <row r="3692" spans="2:2" x14ac:dyDescent="0.35">
      <c r="B3692" s="28"/>
    </row>
    <row r="3693" spans="2:2" x14ac:dyDescent="0.35">
      <c r="B3693" s="28"/>
    </row>
    <row r="3694" spans="2:2" x14ac:dyDescent="0.35">
      <c r="B3694" s="28"/>
    </row>
    <row r="3695" spans="2:2" x14ac:dyDescent="0.35">
      <c r="B3695" s="28"/>
    </row>
    <row r="3696" spans="2:2" x14ac:dyDescent="0.35">
      <c r="B3696" s="28"/>
    </row>
    <row r="3697" spans="2:2" x14ac:dyDescent="0.35">
      <c r="B3697" s="28"/>
    </row>
    <row r="3698" spans="2:2" x14ac:dyDescent="0.35">
      <c r="B3698" s="28"/>
    </row>
    <row r="3699" spans="2:2" x14ac:dyDescent="0.35">
      <c r="B3699" s="28"/>
    </row>
    <row r="3700" spans="2:2" x14ac:dyDescent="0.35">
      <c r="B3700" s="28"/>
    </row>
    <row r="3701" spans="2:2" x14ac:dyDescent="0.35">
      <c r="B3701" s="28"/>
    </row>
    <row r="3702" spans="2:2" x14ac:dyDescent="0.35">
      <c r="B3702" s="28"/>
    </row>
    <row r="3703" spans="2:2" x14ac:dyDescent="0.35">
      <c r="B3703" s="28"/>
    </row>
    <row r="3704" spans="2:2" x14ac:dyDescent="0.35">
      <c r="B3704" s="28"/>
    </row>
    <row r="3705" spans="2:2" x14ac:dyDescent="0.35">
      <c r="B3705" s="28"/>
    </row>
    <row r="3706" spans="2:2" x14ac:dyDescent="0.35">
      <c r="B3706" s="28"/>
    </row>
    <row r="3707" spans="2:2" x14ac:dyDescent="0.35">
      <c r="B3707" s="28"/>
    </row>
    <row r="3708" spans="2:2" x14ac:dyDescent="0.35">
      <c r="B3708" s="28"/>
    </row>
    <row r="3709" spans="2:2" x14ac:dyDescent="0.35">
      <c r="B3709" s="28"/>
    </row>
    <row r="3710" spans="2:2" x14ac:dyDescent="0.35">
      <c r="B3710" s="28"/>
    </row>
    <row r="3711" spans="2:2" x14ac:dyDescent="0.35">
      <c r="B3711" s="28"/>
    </row>
    <row r="3712" spans="2:2" x14ac:dyDescent="0.35">
      <c r="B3712" s="28"/>
    </row>
    <row r="3713" spans="2:2" x14ac:dyDescent="0.35">
      <c r="B3713" s="28"/>
    </row>
    <row r="3714" spans="2:2" x14ac:dyDescent="0.35">
      <c r="B3714" s="28"/>
    </row>
    <row r="3715" spans="2:2" x14ac:dyDescent="0.35">
      <c r="B3715" s="28"/>
    </row>
    <row r="3716" spans="2:2" x14ac:dyDescent="0.35">
      <c r="B3716" s="28"/>
    </row>
    <row r="3717" spans="2:2" x14ac:dyDescent="0.35">
      <c r="B3717" s="28"/>
    </row>
    <row r="3718" spans="2:2" x14ac:dyDescent="0.35">
      <c r="B3718" s="28"/>
    </row>
    <row r="3719" spans="2:2" x14ac:dyDescent="0.35">
      <c r="B3719" s="28"/>
    </row>
    <row r="3720" spans="2:2" x14ac:dyDescent="0.35">
      <c r="B3720" s="28"/>
    </row>
    <row r="3721" spans="2:2" x14ac:dyDescent="0.35">
      <c r="B3721" s="28"/>
    </row>
    <row r="3722" spans="2:2" x14ac:dyDescent="0.35">
      <c r="B3722" s="28"/>
    </row>
    <row r="3723" spans="2:2" x14ac:dyDescent="0.35">
      <c r="B3723" s="28"/>
    </row>
    <row r="3724" spans="2:2" x14ac:dyDescent="0.35">
      <c r="B3724" s="28"/>
    </row>
    <row r="3725" spans="2:2" x14ac:dyDescent="0.35">
      <c r="B3725" s="28"/>
    </row>
    <row r="3726" spans="2:2" x14ac:dyDescent="0.35">
      <c r="B3726" s="28"/>
    </row>
    <row r="3727" spans="2:2" x14ac:dyDescent="0.35">
      <c r="B3727" s="28"/>
    </row>
    <row r="3728" spans="2:2" x14ac:dyDescent="0.35">
      <c r="B3728" s="28"/>
    </row>
    <row r="3729" spans="2:2" x14ac:dyDescent="0.35">
      <c r="B3729" s="28"/>
    </row>
    <row r="3730" spans="2:2" x14ac:dyDescent="0.35">
      <c r="B3730" s="28"/>
    </row>
    <row r="3731" spans="2:2" x14ac:dyDescent="0.35">
      <c r="B3731" s="28"/>
    </row>
    <row r="3732" spans="2:2" x14ac:dyDescent="0.35">
      <c r="B3732" s="28"/>
    </row>
    <row r="3733" spans="2:2" x14ac:dyDescent="0.35">
      <c r="B3733" s="28"/>
    </row>
    <row r="3734" spans="2:2" x14ac:dyDescent="0.35">
      <c r="B3734" s="28"/>
    </row>
    <row r="3735" spans="2:2" x14ac:dyDescent="0.35">
      <c r="B3735" s="28"/>
    </row>
    <row r="3736" spans="2:2" x14ac:dyDescent="0.35">
      <c r="B3736" s="28"/>
    </row>
    <row r="3737" spans="2:2" x14ac:dyDescent="0.35">
      <c r="B3737" s="28"/>
    </row>
    <row r="3738" spans="2:2" x14ac:dyDescent="0.35">
      <c r="B3738" s="28"/>
    </row>
    <row r="3739" spans="2:2" x14ac:dyDescent="0.35">
      <c r="B3739" s="28"/>
    </row>
    <row r="3740" spans="2:2" x14ac:dyDescent="0.35">
      <c r="B3740" s="28"/>
    </row>
    <row r="3741" spans="2:2" x14ac:dyDescent="0.35">
      <c r="B3741" s="28"/>
    </row>
    <row r="3742" spans="2:2" x14ac:dyDescent="0.35">
      <c r="B3742" s="28"/>
    </row>
    <row r="3743" spans="2:2" x14ac:dyDescent="0.35">
      <c r="B3743" s="28"/>
    </row>
    <row r="3744" spans="2:2" x14ac:dyDescent="0.35">
      <c r="B3744" s="28"/>
    </row>
    <row r="3745" spans="2:2" x14ac:dyDescent="0.35">
      <c r="B3745" s="28"/>
    </row>
    <row r="3746" spans="2:2" x14ac:dyDescent="0.35">
      <c r="B3746" s="28"/>
    </row>
    <row r="3747" spans="2:2" x14ac:dyDescent="0.35">
      <c r="B3747" s="28"/>
    </row>
    <row r="3748" spans="2:2" x14ac:dyDescent="0.35">
      <c r="B3748" s="28"/>
    </row>
    <row r="3749" spans="2:2" x14ac:dyDescent="0.35">
      <c r="B3749" s="28"/>
    </row>
    <row r="3750" spans="2:2" x14ac:dyDescent="0.35">
      <c r="B3750" s="28"/>
    </row>
    <row r="3751" spans="2:2" x14ac:dyDescent="0.35">
      <c r="B3751" s="28"/>
    </row>
    <row r="3752" spans="2:2" x14ac:dyDescent="0.35">
      <c r="B3752" s="28"/>
    </row>
    <row r="3753" spans="2:2" x14ac:dyDescent="0.35">
      <c r="B3753" s="28"/>
    </row>
    <row r="3754" spans="2:2" x14ac:dyDescent="0.35">
      <c r="B3754" s="28"/>
    </row>
    <row r="3755" spans="2:2" x14ac:dyDescent="0.35">
      <c r="B3755" s="28"/>
    </row>
    <row r="3756" spans="2:2" x14ac:dyDescent="0.35">
      <c r="B3756" s="28"/>
    </row>
    <row r="3757" spans="2:2" x14ac:dyDescent="0.35">
      <c r="B3757" s="28"/>
    </row>
    <row r="3758" spans="2:2" x14ac:dyDescent="0.35">
      <c r="B3758" s="28"/>
    </row>
    <row r="3759" spans="2:2" x14ac:dyDescent="0.35">
      <c r="B3759" s="28"/>
    </row>
    <row r="3760" spans="2:2" x14ac:dyDescent="0.35">
      <c r="B3760" s="28"/>
    </row>
    <row r="3761" spans="2:2" x14ac:dyDescent="0.35">
      <c r="B3761" s="28"/>
    </row>
    <row r="3762" spans="2:2" x14ac:dyDescent="0.35">
      <c r="B3762" s="28"/>
    </row>
    <row r="3763" spans="2:2" x14ac:dyDescent="0.35">
      <c r="B3763" s="28"/>
    </row>
    <row r="3764" spans="2:2" x14ac:dyDescent="0.35">
      <c r="B3764" s="28"/>
    </row>
    <row r="3765" spans="2:2" x14ac:dyDescent="0.35">
      <c r="B3765" s="28"/>
    </row>
    <row r="3766" spans="2:2" x14ac:dyDescent="0.35">
      <c r="B3766" s="28"/>
    </row>
    <row r="3767" spans="2:2" x14ac:dyDescent="0.35">
      <c r="B3767" s="28"/>
    </row>
    <row r="3768" spans="2:2" x14ac:dyDescent="0.35">
      <c r="B3768" s="28"/>
    </row>
    <row r="3769" spans="2:2" x14ac:dyDescent="0.35">
      <c r="B3769" s="28"/>
    </row>
    <row r="3770" spans="2:2" x14ac:dyDescent="0.35">
      <c r="B3770" s="28"/>
    </row>
    <row r="3771" spans="2:2" x14ac:dyDescent="0.35">
      <c r="B3771" s="28"/>
    </row>
    <row r="3772" spans="2:2" x14ac:dyDescent="0.35">
      <c r="B3772" s="28"/>
    </row>
    <row r="3773" spans="2:2" x14ac:dyDescent="0.35">
      <c r="B3773" s="28"/>
    </row>
    <row r="3774" spans="2:2" x14ac:dyDescent="0.35">
      <c r="B3774" s="28"/>
    </row>
    <row r="3775" spans="2:2" x14ac:dyDescent="0.35">
      <c r="B3775" s="28"/>
    </row>
    <row r="3776" spans="2:2" x14ac:dyDescent="0.35">
      <c r="B3776" s="28"/>
    </row>
    <row r="3777" spans="2:2" x14ac:dyDescent="0.35">
      <c r="B3777" s="28"/>
    </row>
    <row r="3778" spans="2:2" x14ac:dyDescent="0.35">
      <c r="B3778" s="28"/>
    </row>
    <row r="3779" spans="2:2" x14ac:dyDescent="0.35">
      <c r="B3779" s="28"/>
    </row>
    <row r="3780" spans="2:2" x14ac:dyDescent="0.35">
      <c r="B3780" s="28"/>
    </row>
    <row r="3781" spans="2:2" x14ac:dyDescent="0.35">
      <c r="B3781" s="28"/>
    </row>
    <row r="3782" spans="2:2" x14ac:dyDescent="0.35">
      <c r="B3782" s="28"/>
    </row>
    <row r="3783" spans="2:2" x14ac:dyDescent="0.35">
      <c r="B3783" s="28"/>
    </row>
    <row r="3784" spans="2:2" x14ac:dyDescent="0.35">
      <c r="B3784" s="28"/>
    </row>
    <row r="3785" spans="2:2" x14ac:dyDescent="0.35">
      <c r="B3785" s="28"/>
    </row>
    <row r="3786" spans="2:2" x14ac:dyDescent="0.35">
      <c r="B3786" s="28"/>
    </row>
    <row r="3787" spans="2:2" x14ac:dyDescent="0.35">
      <c r="B3787" s="28"/>
    </row>
    <row r="3788" spans="2:2" x14ac:dyDescent="0.35">
      <c r="B3788" s="28"/>
    </row>
    <row r="3789" spans="2:2" x14ac:dyDescent="0.35">
      <c r="B3789" s="28"/>
    </row>
    <row r="3790" spans="2:2" x14ac:dyDescent="0.35">
      <c r="B3790" s="28"/>
    </row>
    <row r="3791" spans="2:2" x14ac:dyDescent="0.35">
      <c r="B3791" s="28"/>
    </row>
    <row r="3792" spans="2:2" x14ac:dyDescent="0.35">
      <c r="B3792" s="28"/>
    </row>
    <row r="3793" spans="2:2" x14ac:dyDescent="0.35">
      <c r="B3793" s="28"/>
    </row>
    <row r="3794" spans="2:2" x14ac:dyDescent="0.35">
      <c r="B3794" s="28"/>
    </row>
    <row r="3795" spans="2:2" x14ac:dyDescent="0.35">
      <c r="B3795" s="28"/>
    </row>
    <row r="3796" spans="2:2" x14ac:dyDescent="0.35">
      <c r="B3796" s="28"/>
    </row>
    <row r="3797" spans="2:2" x14ac:dyDescent="0.35">
      <c r="B3797" s="28"/>
    </row>
    <row r="3798" spans="2:2" x14ac:dyDescent="0.35">
      <c r="B3798" s="28"/>
    </row>
    <row r="3799" spans="2:2" x14ac:dyDescent="0.35">
      <c r="B3799" s="28"/>
    </row>
    <row r="3800" spans="2:2" x14ac:dyDescent="0.35">
      <c r="B3800" s="28"/>
    </row>
    <row r="3801" spans="2:2" x14ac:dyDescent="0.35">
      <c r="B3801" s="28"/>
    </row>
    <row r="3802" spans="2:2" x14ac:dyDescent="0.35">
      <c r="B3802" s="28"/>
    </row>
    <row r="3803" spans="2:2" x14ac:dyDescent="0.35">
      <c r="B3803" s="28"/>
    </row>
    <row r="3804" spans="2:2" x14ac:dyDescent="0.35">
      <c r="B3804" s="28"/>
    </row>
    <row r="3805" spans="2:2" x14ac:dyDescent="0.35">
      <c r="B3805" s="28"/>
    </row>
    <row r="3806" spans="2:2" x14ac:dyDescent="0.35">
      <c r="B3806" s="28"/>
    </row>
    <row r="3807" spans="2:2" x14ac:dyDescent="0.35">
      <c r="B3807" s="28"/>
    </row>
    <row r="3808" spans="2:2" x14ac:dyDescent="0.35">
      <c r="B3808" s="28"/>
    </row>
    <row r="3809" spans="2:2" x14ac:dyDescent="0.35">
      <c r="B3809" s="28"/>
    </row>
    <row r="3810" spans="2:2" x14ac:dyDescent="0.35">
      <c r="B3810" s="28"/>
    </row>
    <row r="3811" spans="2:2" x14ac:dyDescent="0.35">
      <c r="B3811" s="28"/>
    </row>
    <row r="3812" spans="2:2" x14ac:dyDescent="0.35">
      <c r="B3812" s="28"/>
    </row>
    <row r="3813" spans="2:2" x14ac:dyDescent="0.35">
      <c r="B3813" s="28"/>
    </row>
    <row r="3814" spans="2:2" x14ac:dyDescent="0.35">
      <c r="B3814" s="28"/>
    </row>
    <row r="3815" spans="2:2" x14ac:dyDescent="0.35">
      <c r="B3815" s="28"/>
    </row>
    <row r="3816" spans="2:2" x14ac:dyDescent="0.35">
      <c r="B3816" s="28"/>
    </row>
    <row r="3817" spans="2:2" x14ac:dyDescent="0.35">
      <c r="B3817" s="28"/>
    </row>
    <row r="3818" spans="2:2" x14ac:dyDescent="0.35">
      <c r="B3818" s="28"/>
    </row>
    <row r="3819" spans="2:2" x14ac:dyDescent="0.35">
      <c r="B3819" s="28"/>
    </row>
    <row r="3820" spans="2:2" x14ac:dyDescent="0.35">
      <c r="B3820" s="28"/>
    </row>
    <row r="3821" spans="2:2" x14ac:dyDescent="0.35">
      <c r="B3821" s="28"/>
    </row>
    <row r="3822" spans="2:2" x14ac:dyDescent="0.35">
      <c r="B3822" s="28"/>
    </row>
    <row r="3823" spans="2:2" x14ac:dyDescent="0.35">
      <c r="B3823" s="28"/>
    </row>
    <row r="3824" spans="2:2" x14ac:dyDescent="0.35">
      <c r="B3824" s="28"/>
    </row>
    <row r="3825" spans="2:2" x14ac:dyDescent="0.35">
      <c r="B3825" s="28"/>
    </row>
    <row r="3826" spans="2:2" x14ac:dyDescent="0.35">
      <c r="B3826" s="28"/>
    </row>
    <row r="3827" spans="2:2" x14ac:dyDescent="0.35">
      <c r="B3827" s="28"/>
    </row>
    <row r="3828" spans="2:2" x14ac:dyDescent="0.35">
      <c r="B3828" s="28"/>
    </row>
    <row r="3829" spans="2:2" x14ac:dyDescent="0.35">
      <c r="B3829" s="28"/>
    </row>
    <row r="3830" spans="2:2" x14ac:dyDescent="0.35">
      <c r="B3830" s="28"/>
    </row>
    <row r="3831" spans="2:2" x14ac:dyDescent="0.35">
      <c r="B3831" s="28"/>
    </row>
    <row r="3832" spans="2:2" x14ac:dyDescent="0.35">
      <c r="B3832" s="28"/>
    </row>
    <row r="3833" spans="2:2" x14ac:dyDescent="0.35">
      <c r="B3833" s="28"/>
    </row>
    <row r="3834" spans="2:2" x14ac:dyDescent="0.35">
      <c r="B3834" s="28"/>
    </row>
    <row r="3835" spans="2:2" x14ac:dyDescent="0.35">
      <c r="B3835" s="28"/>
    </row>
    <row r="3836" spans="2:2" x14ac:dyDescent="0.35">
      <c r="B3836" s="28"/>
    </row>
    <row r="3837" spans="2:2" x14ac:dyDescent="0.35">
      <c r="B3837" s="28"/>
    </row>
    <row r="3838" spans="2:2" x14ac:dyDescent="0.35">
      <c r="B3838" s="28"/>
    </row>
    <row r="3839" spans="2:2" x14ac:dyDescent="0.35">
      <c r="B3839" s="28"/>
    </row>
    <row r="3840" spans="2:2" x14ac:dyDescent="0.35">
      <c r="B3840" s="28"/>
    </row>
    <row r="3841" spans="2:2" x14ac:dyDescent="0.35">
      <c r="B3841" s="28"/>
    </row>
    <row r="3842" spans="2:2" x14ac:dyDescent="0.35">
      <c r="B3842" s="28"/>
    </row>
    <row r="3843" spans="2:2" x14ac:dyDescent="0.35">
      <c r="B3843" s="28"/>
    </row>
    <row r="3844" spans="2:2" x14ac:dyDescent="0.35">
      <c r="B3844" s="28"/>
    </row>
    <row r="3845" spans="2:2" x14ac:dyDescent="0.35">
      <c r="B3845" s="28"/>
    </row>
    <row r="3846" spans="2:2" x14ac:dyDescent="0.35">
      <c r="B3846" s="28"/>
    </row>
    <row r="3847" spans="2:2" x14ac:dyDescent="0.35">
      <c r="B3847" s="28"/>
    </row>
    <row r="3848" spans="2:2" x14ac:dyDescent="0.35">
      <c r="B3848" s="28"/>
    </row>
    <row r="3849" spans="2:2" x14ac:dyDescent="0.35">
      <c r="B3849" s="28"/>
    </row>
    <row r="3850" spans="2:2" x14ac:dyDescent="0.35">
      <c r="B3850" s="28"/>
    </row>
    <row r="3851" spans="2:2" x14ac:dyDescent="0.35">
      <c r="B3851" s="28"/>
    </row>
    <row r="3852" spans="2:2" x14ac:dyDescent="0.35">
      <c r="B3852" s="28"/>
    </row>
    <row r="3853" spans="2:2" x14ac:dyDescent="0.35">
      <c r="B3853" s="28"/>
    </row>
    <row r="3854" spans="2:2" x14ac:dyDescent="0.35">
      <c r="B3854" s="28"/>
    </row>
    <row r="3855" spans="2:2" x14ac:dyDescent="0.35">
      <c r="B3855" s="28"/>
    </row>
    <row r="3856" spans="2:2" x14ac:dyDescent="0.35">
      <c r="B3856" s="28"/>
    </row>
    <row r="3857" spans="2:2" x14ac:dyDescent="0.35">
      <c r="B3857" s="28"/>
    </row>
    <row r="3858" spans="2:2" x14ac:dyDescent="0.35">
      <c r="B3858" s="28"/>
    </row>
    <row r="3859" spans="2:2" x14ac:dyDescent="0.35">
      <c r="B3859" s="28"/>
    </row>
    <row r="3860" spans="2:2" x14ac:dyDescent="0.35">
      <c r="B3860" s="28"/>
    </row>
    <row r="3861" spans="2:2" x14ac:dyDescent="0.35">
      <c r="B3861" s="28"/>
    </row>
    <row r="3862" spans="2:2" x14ac:dyDescent="0.35">
      <c r="B3862" s="28"/>
    </row>
    <row r="3863" spans="2:2" x14ac:dyDescent="0.35">
      <c r="B3863" s="28"/>
    </row>
    <row r="3864" spans="2:2" x14ac:dyDescent="0.35">
      <c r="B3864" s="28"/>
    </row>
    <row r="3865" spans="2:2" x14ac:dyDescent="0.35">
      <c r="B3865" s="28"/>
    </row>
    <row r="3866" spans="2:2" x14ac:dyDescent="0.35">
      <c r="B3866" s="28"/>
    </row>
    <row r="3867" spans="2:2" x14ac:dyDescent="0.35">
      <c r="B3867" s="28"/>
    </row>
    <row r="3868" spans="2:2" x14ac:dyDescent="0.35">
      <c r="B3868" s="28"/>
    </row>
    <row r="3869" spans="2:2" x14ac:dyDescent="0.35">
      <c r="B3869" s="28"/>
    </row>
    <row r="3870" spans="2:2" x14ac:dyDescent="0.35">
      <c r="B3870" s="28"/>
    </row>
    <row r="3871" spans="2:2" x14ac:dyDescent="0.35">
      <c r="B3871" s="28"/>
    </row>
    <row r="3872" spans="2:2" x14ac:dyDescent="0.35">
      <c r="B3872" s="28"/>
    </row>
    <row r="3873" spans="2:2" x14ac:dyDescent="0.35">
      <c r="B3873" s="28"/>
    </row>
    <row r="3874" spans="2:2" x14ac:dyDescent="0.35">
      <c r="B3874" s="28"/>
    </row>
    <row r="3875" spans="2:2" x14ac:dyDescent="0.35">
      <c r="B3875" s="28"/>
    </row>
    <row r="3876" spans="2:2" x14ac:dyDescent="0.35">
      <c r="B3876" s="28"/>
    </row>
    <row r="3877" spans="2:2" x14ac:dyDescent="0.35">
      <c r="B3877" s="28"/>
    </row>
    <row r="3878" spans="2:2" x14ac:dyDescent="0.35">
      <c r="B3878" s="28"/>
    </row>
    <row r="3879" spans="2:2" x14ac:dyDescent="0.35">
      <c r="B3879" s="28"/>
    </row>
    <row r="3880" spans="2:2" x14ac:dyDescent="0.35">
      <c r="B3880" s="28"/>
    </row>
    <row r="3881" spans="2:2" x14ac:dyDescent="0.35">
      <c r="B3881" s="28"/>
    </row>
    <row r="3882" spans="2:2" x14ac:dyDescent="0.35">
      <c r="B3882" s="28"/>
    </row>
    <row r="3883" spans="2:2" x14ac:dyDescent="0.35">
      <c r="B3883" s="28"/>
    </row>
    <row r="3884" spans="2:2" x14ac:dyDescent="0.35">
      <c r="B3884" s="28"/>
    </row>
    <row r="3885" spans="2:2" x14ac:dyDescent="0.35">
      <c r="B3885" s="28"/>
    </row>
    <row r="3886" spans="2:2" x14ac:dyDescent="0.35">
      <c r="B3886" s="28"/>
    </row>
    <row r="3887" spans="2:2" x14ac:dyDescent="0.35">
      <c r="B3887" s="28"/>
    </row>
    <row r="3888" spans="2:2" x14ac:dyDescent="0.35">
      <c r="B3888" s="28"/>
    </row>
    <row r="3889" spans="2:2" x14ac:dyDescent="0.35">
      <c r="B3889" s="28"/>
    </row>
    <row r="3890" spans="2:2" x14ac:dyDescent="0.35">
      <c r="B3890" s="28"/>
    </row>
    <row r="3891" spans="2:2" x14ac:dyDescent="0.35">
      <c r="B3891" s="28"/>
    </row>
    <row r="3892" spans="2:2" x14ac:dyDescent="0.35">
      <c r="B3892" s="28"/>
    </row>
    <row r="3893" spans="2:2" x14ac:dyDescent="0.35">
      <c r="B3893" s="28"/>
    </row>
    <row r="3894" spans="2:2" x14ac:dyDescent="0.35">
      <c r="B3894" s="28"/>
    </row>
    <row r="3895" spans="2:2" x14ac:dyDescent="0.35">
      <c r="B3895" s="28"/>
    </row>
    <row r="3896" spans="2:2" x14ac:dyDescent="0.35">
      <c r="B3896" s="28"/>
    </row>
    <row r="3897" spans="2:2" x14ac:dyDescent="0.35">
      <c r="B3897" s="28"/>
    </row>
    <row r="3898" spans="2:2" x14ac:dyDescent="0.35">
      <c r="B3898" s="28"/>
    </row>
    <row r="3899" spans="2:2" x14ac:dyDescent="0.35">
      <c r="B3899" s="28"/>
    </row>
    <row r="3900" spans="2:2" x14ac:dyDescent="0.35">
      <c r="B3900" s="28"/>
    </row>
    <row r="3901" spans="2:2" x14ac:dyDescent="0.35">
      <c r="B3901" s="28"/>
    </row>
    <row r="3902" spans="2:2" x14ac:dyDescent="0.35">
      <c r="B3902" s="28"/>
    </row>
    <row r="3903" spans="2:2" x14ac:dyDescent="0.35">
      <c r="B3903" s="28"/>
    </row>
    <row r="3904" spans="2:2" x14ac:dyDescent="0.35">
      <c r="B3904" s="28"/>
    </row>
    <row r="3905" spans="2:2" x14ac:dyDescent="0.35">
      <c r="B3905" s="28"/>
    </row>
    <row r="3906" spans="2:2" x14ac:dyDescent="0.35">
      <c r="B3906" s="28"/>
    </row>
    <row r="3907" spans="2:2" x14ac:dyDescent="0.35">
      <c r="B3907" s="28"/>
    </row>
    <row r="3908" spans="2:2" x14ac:dyDescent="0.35">
      <c r="B3908" s="28"/>
    </row>
    <row r="3909" spans="2:2" x14ac:dyDescent="0.35">
      <c r="B3909" s="28"/>
    </row>
    <row r="3910" spans="2:2" x14ac:dyDescent="0.35">
      <c r="B3910" s="28"/>
    </row>
    <row r="3911" spans="2:2" x14ac:dyDescent="0.35">
      <c r="B3911" s="28"/>
    </row>
    <row r="3912" spans="2:2" x14ac:dyDescent="0.35">
      <c r="B3912" s="28"/>
    </row>
    <row r="3913" spans="2:2" x14ac:dyDescent="0.35">
      <c r="B3913" s="28"/>
    </row>
    <row r="3914" spans="2:2" x14ac:dyDescent="0.35">
      <c r="B3914" s="28"/>
    </row>
    <row r="3915" spans="2:2" x14ac:dyDescent="0.35">
      <c r="B3915" s="28"/>
    </row>
    <row r="3916" spans="2:2" x14ac:dyDescent="0.35">
      <c r="B3916" s="28"/>
    </row>
    <row r="3917" spans="2:2" x14ac:dyDescent="0.35">
      <c r="B3917" s="28"/>
    </row>
    <row r="3918" spans="2:2" x14ac:dyDescent="0.35">
      <c r="B3918" s="28"/>
    </row>
    <row r="3919" spans="2:2" x14ac:dyDescent="0.35">
      <c r="B3919" s="28"/>
    </row>
    <row r="3920" spans="2:2" x14ac:dyDescent="0.35">
      <c r="B3920" s="28"/>
    </row>
    <row r="3921" spans="2:2" x14ac:dyDescent="0.35">
      <c r="B3921" s="28"/>
    </row>
    <row r="3922" spans="2:2" x14ac:dyDescent="0.35">
      <c r="B3922" s="28"/>
    </row>
    <row r="3923" spans="2:2" x14ac:dyDescent="0.35">
      <c r="B3923" s="28"/>
    </row>
    <row r="3924" spans="2:2" x14ac:dyDescent="0.35">
      <c r="B3924" s="28"/>
    </row>
    <row r="3925" spans="2:2" x14ac:dyDescent="0.35">
      <c r="B3925" s="28"/>
    </row>
    <row r="3926" spans="2:2" x14ac:dyDescent="0.35">
      <c r="B3926" s="28"/>
    </row>
    <row r="3927" spans="2:2" x14ac:dyDescent="0.35">
      <c r="B3927" s="28"/>
    </row>
    <row r="3928" spans="2:2" x14ac:dyDescent="0.35">
      <c r="B3928" s="28"/>
    </row>
    <row r="3929" spans="2:2" x14ac:dyDescent="0.35">
      <c r="B3929" s="28"/>
    </row>
    <row r="3930" spans="2:2" x14ac:dyDescent="0.35">
      <c r="B3930" s="28"/>
    </row>
    <row r="3931" spans="2:2" x14ac:dyDescent="0.35">
      <c r="B3931" s="28"/>
    </row>
    <row r="3932" spans="2:2" x14ac:dyDescent="0.35">
      <c r="B3932" s="28"/>
    </row>
    <row r="3933" spans="2:2" x14ac:dyDescent="0.35">
      <c r="B3933" s="28"/>
    </row>
    <row r="3934" spans="2:2" x14ac:dyDescent="0.35">
      <c r="B3934" s="28"/>
    </row>
    <row r="3935" spans="2:2" x14ac:dyDescent="0.35">
      <c r="B3935" s="28"/>
    </row>
    <row r="3936" spans="2:2" x14ac:dyDescent="0.35">
      <c r="B3936" s="28"/>
    </row>
    <row r="3937" spans="2:2" x14ac:dyDescent="0.35">
      <c r="B3937" s="28"/>
    </row>
    <row r="3938" spans="2:2" x14ac:dyDescent="0.35">
      <c r="B3938" s="28"/>
    </row>
    <row r="3939" spans="2:2" x14ac:dyDescent="0.35">
      <c r="B3939" s="28"/>
    </row>
    <row r="3940" spans="2:2" x14ac:dyDescent="0.35">
      <c r="B3940" s="28"/>
    </row>
    <row r="3941" spans="2:2" x14ac:dyDescent="0.35">
      <c r="B3941" s="28"/>
    </row>
    <row r="3942" spans="2:2" x14ac:dyDescent="0.35">
      <c r="B3942" s="28"/>
    </row>
    <row r="3943" spans="2:2" x14ac:dyDescent="0.35">
      <c r="B3943" s="28"/>
    </row>
    <row r="3944" spans="2:2" x14ac:dyDescent="0.35">
      <c r="B3944" s="28"/>
    </row>
    <row r="3945" spans="2:2" x14ac:dyDescent="0.35">
      <c r="B3945" s="28"/>
    </row>
    <row r="3946" spans="2:2" x14ac:dyDescent="0.35">
      <c r="B3946" s="28"/>
    </row>
    <row r="3947" spans="2:2" x14ac:dyDescent="0.35">
      <c r="B3947" s="28"/>
    </row>
    <row r="3948" spans="2:2" x14ac:dyDescent="0.35">
      <c r="B3948" s="28"/>
    </row>
    <row r="3949" spans="2:2" x14ac:dyDescent="0.35">
      <c r="B3949" s="28"/>
    </row>
    <row r="3950" spans="2:2" x14ac:dyDescent="0.35">
      <c r="B3950" s="28"/>
    </row>
    <row r="3951" spans="2:2" x14ac:dyDescent="0.35">
      <c r="B3951" s="28"/>
    </row>
    <row r="3952" spans="2:2" x14ac:dyDescent="0.35">
      <c r="B3952" s="28"/>
    </row>
    <row r="3953" spans="2:2" x14ac:dyDescent="0.35">
      <c r="B3953" s="28"/>
    </row>
    <row r="3954" spans="2:2" x14ac:dyDescent="0.35">
      <c r="B3954" s="28"/>
    </row>
    <row r="3955" spans="2:2" x14ac:dyDescent="0.35">
      <c r="B3955" s="28"/>
    </row>
    <row r="3956" spans="2:2" x14ac:dyDescent="0.35">
      <c r="B3956" s="28"/>
    </row>
    <row r="3957" spans="2:2" x14ac:dyDescent="0.35">
      <c r="B3957" s="28"/>
    </row>
    <row r="3958" spans="2:2" x14ac:dyDescent="0.35">
      <c r="B3958" s="28"/>
    </row>
    <row r="3959" spans="2:2" x14ac:dyDescent="0.35">
      <c r="B3959" s="28"/>
    </row>
    <row r="3960" spans="2:2" x14ac:dyDescent="0.35">
      <c r="B3960" s="28"/>
    </row>
    <row r="3961" spans="2:2" x14ac:dyDescent="0.35">
      <c r="B3961" s="28"/>
    </row>
    <row r="3962" spans="2:2" x14ac:dyDescent="0.35">
      <c r="B3962" s="28"/>
    </row>
    <row r="3963" spans="2:2" x14ac:dyDescent="0.35">
      <c r="B3963" s="28"/>
    </row>
    <row r="3964" spans="2:2" x14ac:dyDescent="0.35">
      <c r="B3964" s="28"/>
    </row>
    <row r="3965" spans="2:2" x14ac:dyDescent="0.35">
      <c r="B3965" s="28"/>
    </row>
    <row r="3966" spans="2:2" x14ac:dyDescent="0.35">
      <c r="B3966" s="28"/>
    </row>
    <row r="3967" spans="2:2" x14ac:dyDescent="0.35">
      <c r="B3967" s="28"/>
    </row>
    <row r="3968" spans="2:2" x14ac:dyDescent="0.35">
      <c r="B3968" s="28"/>
    </row>
    <row r="3969" spans="2:2" x14ac:dyDescent="0.35">
      <c r="B3969" s="28"/>
    </row>
    <row r="3970" spans="2:2" x14ac:dyDescent="0.35">
      <c r="B3970" s="28"/>
    </row>
    <row r="3971" spans="2:2" x14ac:dyDescent="0.35">
      <c r="B3971" s="28"/>
    </row>
    <row r="3972" spans="2:2" x14ac:dyDescent="0.35">
      <c r="B3972" s="28"/>
    </row>
    <row r="3973" spans="2:2" x14ac:dyDescent="0.35">
      <c r="B3973" s="28"/>
    </row>
    <row r="3974" spans="2:2" x14ac:dyDescent="0.35">
      <c r="B3974" s="28"/>
    </row>
    <row r="3975" spans="2:2" x14ac:dyDescent="0.35">
      <c r="B3975" s="28"/>
    </row>
    <row r="3976" spans="2:2" x14ac:dyDescent="0.35">
      <c r="B3976" s="28"/>
    </row>
    <row r="3977" spans="2:2" x14ac:dyDescent="0.35">
      <c r="B3977" s="28"/>
    </row>
    <row r="3978" spans="2:2" x14ac:dyDescent="0.35">
      <c r="B3978" s="28"/>
    </row>
    <row r="3979" spans="2:2" x14ac:dyDescent="0.35">
      <c r="B3979" s="28"/>
    </row>
    <row r="3980" spans="2:2" x14ac:dyDescent="0.35">
      <c r="B3980" s="28"/>
    </row>
    <row r="3981" spans="2:2" x14ac:dyDescent="0.35">
      <c r="B3981" s="28"/>
    </row>
    <row r="3982" spans="2:2" x14ac:dyDescent="0.35">
      <c r="B3982" s="28"/>
    </row>
    <row r="3983" spans="2:2" x14ac:dyDescent="0.35">
      <c r="B3983" s="28"/>
    </row>
    <row r="3984" spans="2:2" x14ac:dyDescent="0.35">
      <c r="B3984" s="28"/>
    </row>
    <row r="3985" spans="2:2" x14ac:dyDescent="0.35">
      <c r="B3985" s="28"/>
    </row>
    <row r="3986" spans="2:2" x14ac:dyDescent="0.35">
      <c r="B3986" s="28"/>
    </row>
    <row r="3987" spans="2:2" x14ac:dyDescent="0.35">
      <c r="B3987" s="28"/>
    </row>
    <row r="3988" spans="2:2" x14ac:dyDescent="0.35">
      <c r="B3988" s="28"/>
    </row>
    <row r="3989" spans="2:2" x14ac:dyDescent="0.35">
      <c r="B3989" s="28"/>
    </row>
    <row r="3990" spans="2:2" x14ac:dyDescent="0.35">
      <c r="B3990" s="28"/>
    </row>
    <row r="3991" spans="2:2" x14ac:dyDescent="0.35">
      <c r="B3991" s="28"/>
    </row>
    <row r="3992" spans="2:2" x14ac:dyDescent="0.35">
      <c r="B3992" s="28"/>
    </row>
    <row r="3993" spans="2:2" x14ac:dyDescent="0.35">
      <c r="B3993" s="28"/>
    </row>
    <row r="3994" spans="2:2" x14ac:dyDescent="0.35">
      <c r="B3994" s="28"/>
    </row>
    <row r="3995" spans="2:2" x14ac:dyDescent="0.35">
      <c r="B3995" s="28"/>
    </row>
    <row r="3996" spans="2:2" x14ac:dyDescent="0.35">
      <c r="B3996" s="28"/>
    </row>
    <row r="3997" spans="2:2" x14ac:dyDescent="0.35">
      <c r="B3997" s="28"/>
    </row>
    <row r="3998" spans="2:2" x14ac:dyDescent="0.35">
      <c r="B3998" s="28"/>
    </row>
    <row r="3999" spans="2:2" x14ac:dyDescent="0.35">
      <c r="B3999" s="28"/>
    </row>
    <row r="4000" spans="2:2" x14ac:dyDescent="0.35">
      <c r="B4000" s="28"/>
    </row>
    <row r="4001" spans="2:2" x14ac:dyDescent="0.35">
      <c r="B4001" s="28"/>
    </row>
    <row r="4002" spans="2:2" x14ac:dyDescent="0.35">
      <c r="B4002" s="28"/>
    </row>
    <row r="4003" spans="2:2" x14ac:dyDescent="0.35">
      <c r="B4003" s="28"/>
    </row>
    <row r="4004" spans="2:2" x14ac:dyDescent="0.35">
      <c r="B4004" s="28"/>
    </row>
    <row r="4005" spans="2:2" x14ac:dyDescent="0.35">
      <c r="B4005" s="28"/>
    </row>
    <row r="4006" spans="2:2" x14ac:dyDescent="0.35">
      <c r="B4006" s="28"/>
    </row>
    <row r="4007" spans="2:2" x14ac:dyDescent="0.35">
      <c r="B4007" s="28"/>
    </row>
    <row r="4008" spans="2:2" x14ac:dyDescent="0.35">
      <c r="B4008" s="28"/>
    </row>
    <row r="4009" spans="2:2" x14ac:dyDescent="0.35">
      <c r="B4009" s="28"/>
    </row>
    <row r="4010" spans="2:2" x14ac:dyDescent="0.35">
      <c r="B4010" s="28"/>
    </row>
    <row r="4011" spans="2:2" x14ac:dyDescent="0.35">
      <c r="B4011" s="28"/>
    </row>
    <row r="4012" spans="2:2" x14ac:dyDescent="0.35">
      <c r="B4012" s="28"/>
    </row>
    <row r="4013" spans="2:2" x14ac:dyDescent="0.35">
      <c r="B4013" s="28"/>
    </row>
    <row r="4014" spans="2:2" x14ac:dyDescent="0.35">
      <c r="B4014" s="28"/>
    </row>
    <row r="4015" spans="2:2" x14ac:dyDescent="0.35">
      <c r="B4015" s="28"/>
    </row>
    <row r="4016" spans="2:2" x14ac:dyDescent="0.35">
      <c r="B4016" s="28"/>
    </row>
    <row r="4017" spans="2:2" x14ac:dyDescent="0.35">
      <c r="B4017" s="28"/>
    </row>
    <row r="4018" spans="2:2" x14ac:dyDescent="0.35">
      <c r="B4018" s="28"/>
    </row>
    <row r="4019" spans="2:2" x14ac:dyDescent="0.35">
      <c r="B4019" s="28"/>
    </row>
    <row r="4020" spans="2:2" x14ac:dyDescent="0.35">
      <c r="B4020" s="28"/>
    </row>
    <row r="4021" spans="2:2" x14ac:dyDescent="0.35">
      <c r="B4021" s="28"/>
    </row>
    <row r="4022" spans="2:2" x14ac:dyDescent="0.35">
      <c r="B4022" s="28"/>
    </row>
    <row r="4023" spans="2:2" x14ac:dyDescent="0.35">
      <c r="B4023" s="28"/>
    </row>
    <row r="4024" spans="2:2" x14ac:dyDescent="0.35">
      <c r="B4024" s="28"/>
    </row>
    <row r="4025" spans="2:2" x14ac:dyDescent="0.35">
      <c r="B4025" s="28"/>
    </row>
    <row r="4026" spans="2:2" x14ac:dyDescent="0.35">
      <c r="B4026" s="28"/>
    </row>
    <row r="4027" spans="2:2" x14ac:dyDescent="0.35">
      <c r="B4027" s="28"/>
    </row>
    <row r="4028" spans="2:2" x14ac:dyDescent="0.35">
      <c r="B4028" s="28"/>
    </row>
    <row r="4029" spans="2:2" x14ac:dyDescent="0.35">
      <c r="B4029" s="28"/>
    </row>
    <row r="4030" spans="2:2" x14ac:dyDescent="0.35">
      <c r="B4030" s="28"/>
    </row>
    <row r="4031" spans="2:2" x14ac:dyDescent="0.35">
      <c r="B4031" s="28"/>
    </row>
    <row r="4032" spans="2:2" x14ac:dyDescent="0.35">
      <c r="B4032" s="28"/>
    </row>
    <row r="4033" spans="2:2" x14ac:dyDescent="0.35">
      <c r="B4033" s="28"/>
    </row>
    <row r="4034" spans="2:2" x14ac:dyDescent="0.35">
      <c r="B4034" s="28"/>
    </row>
    <row r="4035" spans="2:2" x14ac:dyDescent="0.35">
      <c r="B4035" s="28"/>
    </row>
    <row r="4036" spans="2:2" x14ac:dyDescent="0.35">
      <c r="B4036" s="28"/>
    </row>
    <row r="4037" spans="2:2" x14ac:dyDescent="0.35">
      <c r="B4037" s="28"/>
    </row>
    <row r="4038" spans="2:2" x14ac:dyDescent="0.35">
      <c r="B4038" s="28"/>
    </row>
    <row r="4039" spans="2:2" x14ac:dyDescent="0.35">
      <c r="B4039" s="28"/>
    </row>
    <row r="4040" spans="2:2" x14ac:dyDescent="0.35">
      <c r="B4040" s="28"/>
    </row>
    <row r="4041" spans="2:2" x14ac:dyDescent="0.35">
      <c r="B4041" s="28"/>
    </row>
    <row r="4042" spans="2:2" x14ac:dyDescent="0.35">
      <c r="B4042" s="28"/>
    </row>
    <row r="4043" spans="2:2" x14ac:dyDescent="0.35">
      <c r="B4043" s="28"/>
    </row>
    <row r="4044" spans="2:2" x14ac:dyDescent="0.35">
      <c r="B4044" s="28"/>
    </row>
    <row r="4045" spans="2:2" x14ac:dyDescent="0.35">
      <c r="B4045" s="28"/>
    </row>
    <row r="4046" spans="2:2" x14ac:dyDescent="0.35">
      <c r="B4046" s="28"/>
    </row>
    <row r="4047" spans="2:2" x14ac:dyDescent="0.35">
      <c r="B4047" s="28"/>
    </row>
    <row r="4048" spans="2:2" x14ac:dyDescent="0.35">
      <c r="B4048" s="28"/>
    </row>
    <row r="4049" spans="2:2" x14ac:dyDescent="0.35">
      <c r="B4049" s="28"/>
    </row>
    <row r="4050" spans="2:2" x14ac:dyDescent="0.35">
      <c r="B4050" s="28"/>
    </row>
    <row r="4051" spans="2:2" x14ac:dyDescent="0.35">
      <c r="B4051" s="28"/>
    </row>
    <row r="4052" spans="2:2" x14ac:dyDescent="0.35">
      <c r="B4052" s="29"/>
    </row>
    <row r="4053" spans="2:2" x14ac:dyDescent="0.35">
      <c r="B4053" s="29"/>
    </row>
    <row r="4054" spans="2:2" x14ac:dyDescent="0.35">
      <c r="B4054" s="29"/>
    </row>
    <row r="4055" spans="2:2" x14ac:dyDescent="0.35">
      <c r="B4055" s="29"/>
    </row>
    <row r="4056" spans="2:2" x14ac:dyDescent="0.35">
      <c r="B4056" s="29"/>
    </row>
    <row r="4057" spans="2:2" x14ac:dyDescent="0.35">
      <c r="B4057" s="29"/>
    </row>
    <row r="4058" spans="2:2" x14ac:dyDescent="0.35">
      <c r="B4058" s="29"/>
    </row>
    <row r="4059" spans="2:2" x14ac:dyDescent="0.35">
      <c r="B4059" s="29"/>
    </row>
    <row r="4060" spans="2:2" x14ac:dyDescent="0.35">
      <c r="B4060" s="29"/>
    </row>
    <row r="4061" spans="2:2" x14ac:dyDescent="0.35">
      <c r="B4061" s="29"/>
    </row>
    <row r="4062" spans="2:2" x14ac:dyDescent="0.35">
      <c r="B4062" s="29"/>
    </row>
    <row r="4063" spans="2:2" x14ac:dyDescent="0.35">
      <c r="B4063" s="29"/>
    </row>
    <row r="4064" spans="2:2" x14ac:dyDescent="0.35">
      <c r="B4064" s="29"/>
    </row>
    <row r="4065" spans="2:2" x14ac:dyDescent="0.35">
      <c r="B4065" s="29"/>
    </row>
    <row r="4066" spans="2:2" x14ac:dyDescent="0.35">
      <c r="B4066" s="29"/>
    </row>
    <row r="4067" spans="2:2" x14ac:dyDescent="0.35">
      <c r="B4067" s="29"/>
    </row>
    <row r="4068" spans="2:2" x14ac:dyDescent="0.35">
      <c r="B4068" s="29"/>
    </row>
    <row r="4069" spans="2:2" x14ac:dyDescent="0.35">
      <c r="B4069" s="29"/>
    </row>
    <row r="4070" spans="2:2" x14ac:dyDescent="0.35">
      <c r="B4070" s="29"/>
    </row>
    <row r="4071" spans="2:2" x14ac:dyDescent="0.35">
      <c r="B4071" s="29"/>
    </row>
    <row r="4072" spans="2:2" x14ac:dyDescent="0.35">
      <c r="B4072" s="29"/>
    </row>
    <row r="4073" spans="2:2" x14ac:dyDescent="0.35">
      <c r="B4073" s="29"/>
    </row>
    <row r="4074" spans="2:2" x14ac:dyDescent="0.35">
      <c r="B4074" s="29"/>
    </row>
    <row r="4075" spans="2:2" x14ac:dyDescent="0.35">
      <c r="B4075" s="29"/>
    </row>
    <row r="4076" spans="2:2" x14ac:dyDescent="0.35">
      <c r="B4076" s="29"/>
    </row>
    <row r="4077" spans="2:2" x14ac:dyDescent="0.35">
      <c r="B4077" s="29"/>
    </row>
    <row r="4078" spans="2:2" x14ac:dyDescent="0.35">
      <c r="B4078" s="29"/>
    </row>
    <row r="4079" spans="2:2" x14ac:dyDescent="0.35">
      <c r="B4079" s="29"/>
    </row>
    <row r="4080" spans="2:2" x14ac:dyDescent="0.35">
      <c r="B4080" s="29"/>
    </row>
    <row r="4081" spans="2:2" x14ac:dyDescent="0.35">
      <c r="B4081" s="29"/>
    </row>
    <row r="4082" spans="2:2" x14ac:dyDescent="0.35">
      <c r="B4082" s="29"/>
    </row>
    <row r="4083" spans="2:2" x14ac:dyDescent="0.35">
      <c r="B4083" s="29"/>
    </row>
    <row r="4084" spans="2:2" x14ac:dyDescent="0.35">
      <c r="B4084" s="29"/>
    </row>
    <row r="4085" spans="2:2" x14ac:dyDescent="0.35">
      <c r="B4085" s="29"/>
    </row>
    <row r="4086" spans="2:2" x14ac:dyDescent="0.35">
      <c r="B4086" s="29"/>
    </row>
    <row r="4087" spans="2:2" x14ac:dyDescent="0.35">
      <c r="B4087" s="29"/>
    </row>
    <row r="4088" spans="2:2" x14ac:dyDescent="0.35">
      <c r="B4088" s="29"/>
    </row>
    <row r="4089" spans="2:2" x14ac:dyDescent="0.35">
      <c r="B4089" s="29"/>
    </row>
    <row r="4090" spans="2:2" x14ac:dyDescent="0.35">
      <c r="B4090" s="29"/>
    </row>
    <row r="4091" spans="2:2" x14ac:dyDescent="0.35">
      <c r="B4091" s="29"/>
    </row>
    <row r="4092" spans="2:2" x14ac:dyDescent="0.35">
      <c r="B4092" s="29"/>
    </row>
    <row r="4093" spans="2:2" x14ac:dyDescent="0.35">
      <c r="B4093" s="29"/>
    </row>
    <row r="4094" spans="2:2" x14ac:dyDescent="0.35">
      <c r="B4094" s="29"/>
    </row>
    <row r="4095" spans="2:2" x14ac:dyDescent="0.35">
      <c r="B4095" s="29"/>
    </row>
    <row r="4096" spans="2:2" x14ac:dyDescent="0.35">
      <c r="B4096" s="29"/>
    </row>
    <row r="4097" spans="2:2" x14ac:dyDescent="0.35">
      <c r="B4097" s="29"/>
    </row>
    <row r="4098" spans="2:2" x14ac:dyDescent="0.35">
      <c r="B4098" s="29"/>
    </row>
    <row r="4099" spans="2:2" x14ac:dyDescent="0.35">
      <c r="B4099" s="29"/>
    </row>
    <row r="4100" spans="2:2" x14ac:dyDescent="0.35">
      <c r="B4100" s="29"/>
    </row>
    <row r="4101" spans="2:2" x14ac:dyDescent="0.35">
      <c r="B4101" s="29"/>
    </row>
    <row r="4102" spans="2:2" x14ac:dyDescent="0.35">
      <c r="B4102" s="29"/>
    </row>
    <row r="4103" spans="2:2" x14ac:dyDescent="0.35">
      <c r="B4103" s="29"/>
    </row>
    <row r="4104" spans="2:2" x14ac:dyDescent="0.35">
      <c r="B4104" s="29"/>
    </row>
    <row r="4105" spans="2:2" x14ac:dyDescent="0.35">
      <c r="B4105" s="29"/>
    </row>
    <row r="4106" spans="2:2" x14ac:dyDescent="0.35">
      <c r="B4106" s="29"/>
    </row>
    <row r="4107" spans="2:2" x14ac:dyDescent="0.35">
      <c r="B4107" s="29"/>
    </row>
    <row r="4108" spans="2:2" x14ac:dyDescent="0.35">
      <c r="B4108" s="29"/>
    </row>
    <row r="4109" spans="2:2" x14ac:dyDescent="0.35">
      <c r="B4109" s="29"/>
    </row>
    <row r="4110" spans="2:2" x14ac:dyDescent="0.35">
      <c r="B4110" s="29"/>
    </row>
    <row r="4111" spans="2:2" x14ac:dyDescent="0.35">
      <c r="B4111" s="29"/>
    </row>
    <row r="4112" spans="2:2" x14ac:dyDescent="0.35">
      <c r="B4112" s="29"/>
    </row>
    <row r="4113" spans="2:2" x14ac:dyDescent="0.35">
      <c r="B4113" s="29"/>
    </row>
    <row r="4114" spans="2:2" x14ac:dyDescent="0.35">
      <c r="B4114" s="29"/>
    </row>
    <row r="4115" spans="2:2" x14ac:dyDescent="0.35">
      <c r="B4115" s="29"/>
    </row>
    <row r="4116" spans="2:2" x14ac:dyDescent="0.35">
      <c r="B4116" s="29"/>
    </row>
    <row r="4117" spans="2:2" x14ac:dyDescent="0.35">
      <c r="B4117" s="29"/>
    </row>
    <row r="4118" spans="2:2" x14ac:dyDescent="0.35">
      <c r="B4118" s="29"/>
    </row>
    <row r="4119" spans="2:2" x14ac:dyDescent="0.35">
      <c r="B4119" s="29"/>
    </row>
    <row r="4120" spans="2:2" x14ac:dyDescent="0.35">
      <c r="B4120" s="29"/>
    </row>
    <row r="4121" spans="2:2" x14ac:dyDescent="0.35">
      <c r="B4121" s="29"/>
    </row>
    <row r="4122" spans="2:2" x14ac:dyDescent="0.35">
      <c r="B4122" s="29"/>
    </row>
    <row r="4123" spans="2:2" x14ac:dyDescent="0.35">
      <c r="B4123" s="29"/>
    </row>
    <row r="4124" spans="2:2" x14ac:dyDescent="0.35">
      <c r="B4124" s="29"/>
    </row>
    <row r="4125" spans="2:2" x14ac:dyDescent="0.35">
      <c r="B4125" s="29"/>
    </row>
    <row r="4126" spans="2:2" x14ac:dyDescent="0.35">
      <c r="B4126" s="29"/>
    </row>
    <row r="4127" spans="2:2" x14ac:dyDescent="0.35">
      <c r="B4127" s="29"/>
    </row>
    <row r="4128" spans="2:2" x14ac:dyDescent="0.35">
      <c r="B4128" s="29"/>
    </row>
    <row r="4129" spans="2:2" x14ac:dyDescent="0.35">
      <c r="B4129" s="29"/>
    </row>
    <row r="4130" spans="2:2" x14ac:dyDescent="0.35">
      <c r="B4130" s="29"/>
    </row>
    <row r="4131" spans="2:2" x14ac:dyDescent="0.35">
      <c r="B4131" s="29"/>
    </row>
    <row r="4132" spans="2:2" x14ac:dyDescent="0.35">
      <c r="B4132" s="29"/>
    </row>
    <row r="4133" spans="2:2" x14ac:dyDescent="0.35">
      <c r="B4133" s="29"/>
    </row>
    <row r="4134" spans="2:2" x14ac:dyDescent="0.35">
      <c r="B4134" s="29"/>
    </row>
    <row r="4135" spans="2:2" x14ac:dyDescent="0.35">
      <c r="B4135" s="29"/>
    </row>
    <row r="4136" spans="2:2" x14ac:dyDescent="0.35">
      <c r="B4136" s="29"/>
    </row>
    <row r="4137" spans="2:2" x14ac:dyDescent="0.35">
      <c r="B4137" s="29"/>
    </row>
    <row r="4138" spans="2:2" x14ac:dyDescent="0.35">
      <c r="B4138" s="29"/>
    </row>
    <row r="4139" spans="2:2" x14ac:dyDescent="0.35">
      <c r="B4139" s="29"/>
    </row>
    <row r="4140" spans="2:2" x14ac:dyDescent="0.35">
      <c r="B4140" s="29"/>
    </row>
    <row r="4141" spans="2:2" x14ac:dyDescent="0.35">
      <c r="B4141" s="29"/>
    </row>
    <row r="4142" spans="2:2" x14ac:dyDescent="0.35">
      <c r="B4142" s="29"/>
    </row>
    <row r="4143" spans="2:2" x14ac:dyDescent="0.35">
      <c r="B4143" s="29"/>
    </row>
    <row r="4144" spans="2:2" x14ac:dyDescent="0.35">
      <c r="B4144" s="29"/>
    </row>
    <row r="4145" spans="2:2" x14ac:dyDescent="0.35">
      <c r="B4145" s="29"/>
    </row>
    <row r="4146" spans="2:2" x14ac:dyDescent="0.35">
      <c r="B4146" s="29"/>
    </row>
    <row r="4147" spans="2:2" x14ac:dyDescent="0.35">
      <c r="B4147" s="29"/>
    </row>
    <row r="4148" spans="2:2" x14ac:dyDescent="0.35">
      <c r="B4148" s="29"/>
    </row>
    <row r="4149" spans="2:2" x14ac:dyDescent="0.35">
      <c r="B4149" s="29"/>
    </row>
    <row r="4150" spans="2:2" x14ac:dyDescent="0.35">
      <c r="B4150" s="29"/>
    </row>
    <row r="4151" spans="2:2" x14ac:dyDescent="0.35">
      <c r="B4151" s="29"/>
    </row>
    <row r="4152" spans="2:2" x14ac:dyDescent="0.35">
      <c r="B4152" s="29"/>
    </row>
    <row r="4153" spans="2:2" x14ac:dyDescent="0.35">
      <c r="B4153" s="29"/>
    </row>
    <row r="4154" spans="2:2" x14ac:dyDescent="0.35">
      <c r="B4154" s="29"/>
    </row>
    <row r="4155" spans="2:2" x14ac:dyDescent="0.35">
      <c r="B4155" s="29"/>
    </row>
    <row r="4156" spans="2:2" x14ac:dyDescent="0.35">
      <c r="B4156" s="29"/>
    </row>
    <row r="4157" spans="2:2" x14ac:dyDescent="0.35">
      <c r="B4157" s="29"/>
    </row>
    <row r="4158" spans="2:2" x14ac:dyDescent="0.35">
      <c r="B4158" s="29"/>
    </row>
    <row r="4159" spans="2:2" x14ac:dyDescent="0.35">
      <c r="B4159" s="29"/>
    </row>
    <row r="4160" spans="2:2" x14ac:dyDescent="0.35">
      <c r="B4160" s="29"/>
    </row>
    <row r="4161" spans="2:2" x14ac:dyDescent="0.35">
      <c r="B4161" s="29"/>
    </row>
    <row r="4162" spans="2:2" x14ac:dyDescent="0.35">
      <c r="B4162" s="29"/>
    </row>
    <row r="4163" spans="2:2" x14ac:dyDescent="0.35">
      <c r="B4163" s="29"/>
    </row>
    <row r="4164" spans="2:2" x14ac:dyDescent="0.35">
      <c r="B4164" s="29"/>
    </row>
    <row r="4165" spans="2:2" x14ac:dyDescent="0.35">
      <c r="B4165" s="29"/>
    </row>
    <row r="4166" spans="2:2" x14ac:dyDescent="0.35">
      <c r="B4166" s="29"/>
    </row>
    <row r="4167" spans="2:2" x14ac:dyDescent="0.35">
      <c r="B4167" s="29"/>
    </row>
    <row r="4168" spans="2:2" x14ac:dyDescent="0.35">
      <c r="B4168" s="29"/>
    </row>
    <row r="4169" spans="2:2" x14ac:dyDescent="0.35">
      <c r="B4169" s="29"/>
    </row>
    <row r="4170" spans="2:2" x14ac:dyDescent="0.35">
      <c r="B4170" s="29"/>
    </row>
    <row r="4171" spans="2:2" x14ac:dyDescent="0.35">
      <c r="B4171" s="29"/>
    </row>
    <row r="4172" spans="2:2" x14ac:dyDescent="0.35">
      <c r="B4172" s="29"/>
    </row>
    <row r="4173" spans="2:2" x14ac:dyDescent="0.35">
      <c r="B4173" s="29"/>
    </row>
    <row r="4174" spans="2:2" x14ac:dyDescent="0.35">
      <c r="B4174" s="29"/>
    </row>
    <row r="4175" spans="2:2" x14ac:dyDescent="0.35">
      <c r="B4175" s="29"/>
    </row>
    <row r="4176" spans="2:2" x14ac:dyDescent="0.35">
      <c r="B4176" s="29"/>
    </row>
    <row r="4177" spans="2:2" x14ac:dyDescent="0.35">
      <c r="B4177" s="29"/>
    </row>
    <row r="4178" spans="2:2" x14ac:dyDescent="0.35">
      <c r="B4178" s="29"/>
    </row>
    <row r="4179" spans="2:2" x14ac:dyDescent="0.35">
      <c r="B4179" s="29"/>
    </row>
    <row r="4180" spans="2:2" x14ac:dyDescent="0.35">
      <c r="B4180" s="29"/>
    </row>
    <row r="4181" spans="2:2" x14ac:dyDescent="0.35">
      <c r="B4181" s="29"/>
    </row>
    <row r="4182" spans="2:2" x14ac:dyDescent="0.35">
      <c r="B4182" s="29"/>
    </row>
    <row r="4183" spans="2:2" x14ac:dyDescent="0.35">
      <c r="B4183" s="29"/>
    </row>
    <row r="4184" spans="2:2" x14ac:dyDescent="0.35">
      <c r="B4184" s="29"/>
    </row>
    <row r="4185" spans="2:2" x14ac:dyDescent="0.35">
      <c r="B4185" s="29"/>
    </row>
    <row r="4186" spans="2:2" x14ac:dyDescent="0.35">
      <c r="B4186" s="29"/>
    </row>
    <row r="4187" spans="2:2" x14ac:dyDescent="0.35">
      <c r="B4187" s="29"/>
    </row>
    <row r="4188" spans="2:2" x14ac:dyDescent="0.35">
      <c r="B4188" s="29"/>
    </row>
    <row r="4189" spans="2:2" x14ac:dyDescent="0.35">
      <c r="B4189" s="29"/>
    </row>
    <row r="4190" spans="2:2" x14ac:dyDescent="0.35">
      <c r="B4190" s="29"/>
    </row>
    <row r="4191" spans="2:2" x14ac:dyDescent="0.35">
      <c r="B4191" s="29"/>
    </row>
    <row r="4192" spans="2:2" x14ac:dyDescent="0.35">
      <c r="B4192" s="29"/>
    </row>
    <row r="4193" spans="2:2" x14ac:dyDescent="0.35">
      <c r="B4193" s="29"/>
    </row>
    <row r="4194" spans="2:2" x14ac:dyDescent="0.35">
      <c r="B4194" s="29"/>
    </row>
    <row r="4195" spans="2:2" x14ac:dyDescent="0.35">
      <c r="B4195" s="29"/>
    </row>
    <row r="4196" spans="2:2" x14ac:dyDescent="0.35">
      <c r="B4196" s="29"/>
    </row>
    <row r="4197" spans="2:2" x14ac:dyDescent="0.35">
      <c r="B4197" s="29"/>
    </row>
    <row r="4198" spans="2:2" x14ac:dyDescent="0.35">
      <c r="B4198" s="29"/>
    </row>
    <row r="4199" spans="2:2" x14ac:dyDescent="0.35">
      <c r="B4199" s="29"/>
    </row>
    <row r="4200" spans="2:2" x14ac:dyDescent="0.35">
      <c r="B4200" s="29"/>
    </row>
    <row r="4201" spans="2:2" x14ac:dyDescent="0.35">
      <c r="B4201" s="29"/>
    </row>
    <row r="4202" spans="2:2" x14ac:dyDescent="0.35">
      <c r="B4202" s="29"/>
    </row>
    <row r="4203" spans="2:2" x14ac:dyDescent="0.35">
      <c r="B4203" s="29"/>
    </row>
    <row r="4204" spans="2:2" x14ac:dyDescent="0.35">
      <c r="B4204" s="29"/>
    </row>
    <row r="4205" spans="2:2" x14ac:dyDescent="0.35">
      <c r="B4205" s="29"/>
    </row>
    <row r="4206" spans="2:2" x14ac:dyDescent="0.35">
      <c r="B4206" s="29"/>
    </row>
    <row r="4207" spans="2:2" x14ac:dyDescent="0.35">
      <c r="B4207" s="29"/>
    </row>
    <row r="4208" spans="2:2" x14ac:dyDescent="0.35">
      <c r="B4208" s="29"/>
    </row>
    <row r="4209" spans="2:2" x14ac:dyDescent="0.35">
      <c r="B4209" s="29"/>
    </row>
    <row r="4210" spans="2:2" x14ac:dyDescent="0.35">
      <c r="B4210" s="29"/>
    </row>
    <row r="4211" spans="2:2" x14ac:dyDescent="0.35">
      <c r="B4211" s="29"/>
    </row>
    <row r="4212" spans="2:2" x14ac:dyDescent="0.35">
      <c r="B4212" s="29"/>
    </row>
    <row r="4213" spans="2:2" x14ac:dyDescent="0.35">
      <c r="B4213" s="29"/>
    </row>
    <row r="4214" spans="2:2" x14ac:dyDescent="0.35">
      <c r="B4214" s="29"/>
    </row>
    <row r="4215" spans="2:2" x14ac:dyDescent="0.35">
      <c r="B4215" s="29"/>
    </row>
    <row r="4216" spans="2:2" x14ac:dyDescent="0.35">
      <c r="B4216" s="29"/>
    </row>
    <row r="4217" spans="2:2" x14ac:dyDescent="0.35">
      <c r="B4217" s="29"/>
    </row>
    <row r="4218" spans="2:2" x14ac:dyDescent="0.35">
      <c r="B4218" s="29"/>
    </row>
    <row r="4219" spans="2:2" x14ac:dyDescent="0.35">
      <c r="B4219" s="29"/>
    </row>
    <row r="4220" spans="2:2" x14ac:dyDescent="0.35">
      <c r="B4220" s="29"/>
    </row>
    <row r="4221" spans="2:2" x14ac:dyDescent="0.35">
      <c r="B4221" s="29"/>
    </row>
    <row r="4222" spans="2:2" x14ac:dyDescent="0.35">
      <c r="B4222" s="29"/>
    </row>
    <row r="4223" spans="2:2" x14ac:dyDescent="0.35">
      <c r="B4223" s="29"/>
    </row>
    <row r="4224" spans="2:2" x14ac:dyDescent="0.35">
      <c r="B4224" s="29"/>
    </row>
    <row r="4225" spans="2:2" x14ac:dyDescent="0.35">
      <c r="B4225" s="29"/>
    </row>
    <row r="4226" spans="2:2" x14ac:dyDescent="0.35">
      <c r="B4226" s="29"/>
    </row>
    <row r="4227" spans="2:2" x14ac:dyDescent="0.35">
      <c r="B4227" s="29"/>
    </row>
    <row r="4228" spans="2:2" x14ac:dyDescent="0.35">
      <c r="B4228" s="29"/>
    </row>
    <row r="4229" spans="2:2" x14ac:dyDescent="0.35">
      <c r="B4229" s="29"/>
    </row>
    <row r="4230" spans="2:2" x14ac:dyDescent="0.35">
      <c r="B4230" s="29"/>
    </row>
    <row r="4231" spans="2:2" x14ac:dyDescent="0.35">
      <c r="B4231" s="29"/>
    </row>
    <row r="4232" spans="2:2" x14ac:dyDescent="0.35">
      <c r="B4232" s="29"/>
    </row>
    <row r="4233" spans="2:2" x14ac:dyDescent="0.35">
      <c r="B4233" s="29"/>
    </row>
    <row r="4234" spans="2:2" x14ac:dyDescent="0.35">
      <c r="B4234" s="29"/>
    </row>
    <row r="4235" spans="2:2" x14ac:dyDescent="0.35">
      <c r="B4235" s="29"/>
    </row>
    <row r="4236" spans="2:2" x14ac:dyDescent="0.35">
      <c r="B4236" s="29"/>
    </row>
    <row r="4237" spans="2:2" x14ac:dyDescent="0.35">
      <c r="B4237" s="29"/>
    </row>
    <row r="4238" spans="2:2" x14ac:dyDescent="0.35">
      <c r="B4238" s="29"/>
    </row>
    <row r="4239" spans="2:2" x14ac:dyDescent="0.35">
      <c r="B4239" s="29"/>
    </row>
    <row r="4240" spans="2:2" x14ac:dyDescent="0.35">
      <c r="B4240" s="29"/>
    </row>
    <row r="4241" spans="2:2" x14ac:dyDescent="0.35">
      <c r="B4241" s="29"/>
    </row>
    <row r="4242" spans="2:2" x14ac:dyDescent="0.35">
      <c r="B4242" s="29"/>
    </row>
    <row r="4243" spans="2:2" x14ac:dyDescent="0.35">
      <c r="B4243" s="29"/>
    </row>
    <row r="4244" spans="2:2" x14ac:dyDescent="0.35">
      <c r="B4244" s="29"/>
    </row>
    <row r="4245" spans="2:2" x14ac:dyDescent="0.35">
      <c r="B4245" s="29"/>
    </row>
    <row r="4246" spans="2:2" x14ac:dyDescent="0.35">
      <c r="B4246" s="29"/>
    </row>
    <row r="4247" spans="2:2" x14ac:dyDescent="0.35">
      <c r="B4247" s="29"/>
    </row>
    <row r="4248" spans="2:2" x14ac:dyDescent="0.35">
      <c r="B4248" s="29"/>
    </row>
    <row r="4249" spans="2:2" x14ac:dyDescent="0.35">
      <c r="B4249" s="29"/>
    </row>
    <row r="4250" spans="2:2" x14ac:dyDescent="0.35">
      <c r="B4250" s="29"/>
    </row>
    <row r="4251" spans="2:2" x14ac:dyDescent="0.35">
      <c r="B4251" s="29"/>
    </row>
    <row r="4252" spans="2:2" x14ac:dyDescent="0.35">
      <c r="B4252" s="29"/>
    </row>
    <row r="4253" spans="2:2" x14ac:dyDescent="0.35">
      <c r="B4253" s="29"/>
    </row>
    <row r="4254" spans="2:2" x14ac:dyDescent="0.35">
      <c r="B4254" s="29"/>
    </row>
    <row r="4255" spans="2:2" x14ac:dyDescent="0.35">
      <c r="B4255" s="29"/>
    </row>
    <row r="4256" spans="2:2" x14ac:dyDescent="0.35">
      <c r="B4256" s="29"/>
    </row>
    <row r="4257" spans="2:2" x14ac:dyDescent="0.35">
      <c r="B4257" s="29"/>
    </row>
    <row r="4258" spans="2:2" x14ac:dyDescent="0.35">
      <c r="B4258" s="29"/>
    </row>
    <row r="4259" spans="2:2" x14ac:dyDescent="0.35">
      <c r="B4259" s="29"/>
    </row>
    <row r="4260" spans="2:2" x14ac:dyDescent="0.35">
      <c r="B4260" s="29"/>
    </row>
    <row r="4261" spans="2:2" x14ac:dyDescent="0.35">
      <c r="B4261" s="29"/>
    </row>
    <row r="4262" spans="2:2" x14ac:dyDescent="0.35">
      <c r="B4262" s="29"/>
    </row>
    <row r="4263" spans="2:2" x14ac:dyDescent="0.35">
      <c r="B4263" s="29"/>
    </row>
    <row r="4264" spans="2:2" x14ac:dyDescent="0.35">
      <c r="B4264" s="29"/>
    </row>
    <row r="4265" spans="2:2" x14ac:dyDescent="0.35">
      <c r="B4265" s="29"/>
    </row>
    <row r="4266" spans="2:2" x14ac:dyDescent="0.35">
      <c r="B4266" s="29"/>
    </row>
    <row r="4267" spans="2:2" x14ac:dyDescent="0.35">
      <c r="B4267" s="29"/>
    </row>
    <row r="4268" spans="2:2" x14ac:dyDescent="0.35">
      <c r="B4268" s="29"/>
    </row>
    <row r="4269" spans="2:2" x14ac:dyDescent="0.35">
      <c r="B4269" s="29"/>
    </row>
    <row r="4270" spans="2:2" x14ac:dyDescent="0.35">
      <c r="B4270" s="29"/>
    </row>
    <row r="4271" spans="2:2" x14ac:dyDescent="0.35">
      <c r="B4271" s="29"/>
    </row>
    <row r="4272" spans="2:2" x14ac:dyDescent="0.35">
      <c r="B4272" s="29"/>
    </row>
    <row r="4273" spans="2:2" x14ac:dyDescent="0.35">
      <c r="B4273" s="29"/>
    </row>
    <row r="4274" spans="2:2" x14ac:dyDescent="0.35">
      <c r="B4274" s="29"/>
    </row>
    <row r="4275" spans="2:2" x14ac:dyDescent="0.35">
      <c r="B4275" s="29"/>
    </row>
    <row r="4276" spans="2:2" x14ac:dyDescent="0.35">
      <c r="B4276" s="29"/>
    </row>
    <row r="4277" spans="2:2" x14ac:dyDescent="0.35">
      <c r="B4277" s="29"/>
    </row>
    <row r="4278" spans="2:2" x14ac:dyDescent="0.35">
      <c r="B4278" s="29"/>
    </row>
    <row r="4279" spans="2:2" x14ac:dyDescent="0.35">
      <c r="B4279" s="29"/>
    </row>
    <row r="4280" spans="2:2" x14ac:dyDescent="0.35">
      <c r="B4280" s="29"/>
    </row>
    <row r="4281" spans="2:2" x14ac:dyDescent="0.35">
      <c r="B4281" s="29"/>
    </row>
    <row r="4282" spans="2:2" x14ac:dyDescent="0.35">
      <c r="B4282" s="29"/>
    </row>
    <row r="4283" spans="2:2" x14ac:dyDescent="0.35">
      <c r="B4283" s="29"/>
    </row>
    <row r="4284" spans="2:2" x14ac:dyDescent="0.35">
      <c r="B4284" s="29"/>
    </row>
    <row r="4285" spans="2:2" x14ac:dyDescent="0.35">
      <c r="B4285" s="29"/>
    </row>
    <row r="4286" spans="2:2" x14ac:dyDescent="0.35">
      <c r="B4286" s="29"/>
    </row>
    <row r="4287" spans="2:2" x14ac:dyDescent="0.35">
      <c r="B4287" s="29"/>
    </row>
    <row r="4288" spans="2:2" x14ac:dyDescent="0.35">
      <c r="B4288" s="29"/>
    </row>
    <row r="4289" spans="2:2" x14ac:dyDescent="0.35">
      <c r="B4289" s="29"/>
    </row>
    <row r="4290" spans="2:2" x14ac:dyDescent="0.35">
      <c r="B4290" s="29"/>
    </row>
    <row r="4291" spans="2:2" x14ac:dyDescent="0.35">
      <c r="B4291" s="29"/>
    </row>
    <row r="4292" spans="2:2" x14ac:dyDescent="0.35">
      <c r="B4292" s="29"/>
    </row>
    <row r="4293" spans="2:2" x14ac:dyDescent="0.35">
      <c r="B4293" s="29"/>
    </row>
    <row r="4294" spans="2:2" x14ac:dyDescent="0.35">
      <c r="B4294" s="29"/>
    </row>
    <row r="4295" spans="2:2" x14ac:dyDescent="0.35">
      <c r="B4295" s="29"/>
    </row>
    <row r="4296" spans="2:2" x14ac:dyDescent="0.35">
      <c r="B4296" s="29"/>
    </row>
    <row r="4297" spans="2:2" x14ac:dyDescent="0.35">
      <c r="B4297" s="29"/>
    </row>
    <row r="4298" spans="2:2" x14ac:dyDescent="0.35">
      <c r="B4298" s="29"/>
    </row>
    <row r="4299" spans="2:2" x14ac:dyDescent="0.35">
      <c r="B4299" s="29"/>
    </row>
    <row r="4300" spans="2:2" x14ac:dyDescent="0.35">
      <c r="B4300" s="29"/>
    </row>
    <row r="4301" spans="2:2" x14ac:dyDescent="0.35">
      <c r="B4301" s="29"/>
    </row>
    <row r="4302" spans="2:2" x14ac:dyDescent="0.35">
      <c r="B4302" s="29"/>
    </row>
    <row r="4303" spans="2:2" x14ac:dyDescent="0.35">
      <c r="B4303" s="29"/>
    </row>
    <row r="4304" spans="2:2" x14ac:dyDescent="0.35">
      <c r="B4304" s="29"/>
    </row>
    <row r="4305" spans="2:2" x14ac:dyDescent="0.35">
      <c r="B4305" s="29"/>
    </row>
    <row r="4306" spans="2:2" x14ac:dyDescent="0.35">
      <c r="B4306" s="29"/>
    </row>
    <row r="4307" spans="2:2" x14ac:dyDescent="0.35">
      <c r="B4307" s="29"/>
    </row>
    <row r="4308" spans="2:2" x14ac:dyDescent="0.35">
      <c r="B4308" s="29"/>
    </row>
    <row r="4309" spans="2:2" x14ac:dyDescent="0.35">
      <c r="B4309" s="29"/>
    </row>
    <row r="4310" spans="2:2" x14ac:dyDescent="0.35">
      <c r="B4310" s="29"/>
    </row>
    <row r="4311" spans="2:2" x14ac:dyDescent="0.35">
      <c r="B4311" s="29"/>
    </row>
    <row r="4312" spans="2:2" x14ac:dyDescent="0.35">
      <c r="B4312" s="29"/>
    </row>
    <row r="4313" spans="2:2" x14ac:dyDescent="0.35">
      <c r="B4313" s="29"/>
    </row>
    <row r="4314" spans="2:2" x14ac:dyDescent="0.35">
      <c r="B4314" s="29"/>
    </row>
    <row r="4315" spans="2:2" x14ac:dyDescent="0.35">
      <c r="B4315" s="29"/>
    </row>
    <row r="4316" spans="2:2" x14ac:dyDescent="0.35">
      <c r="B4316" s="29"/>
    </row>
    <row r="4317" spans="2:2" x14ac:dyDescent="0.35">
      <c r="B4317" s="29"/>
    </row>
    <row r="4318" spans="2:2" x14ac:dyDescent="0.35">
      <c r="B4318" s="29"/>
    </row>
    <row r="4319" spans="2:2" x14ac:dyDescent="0.35">
      <c r="B4319" s="29"/>
    </row>
    <row r="4320" spans="2:2" x14ac:dyDescent="0.35">
      <c r="B4320" s="29"/>
    </row>
    <row r="4321" spans="2:2" x14ac:dyDescent="0.35">
      <c r="B4321" s="29"/>
    </row>
    <row r="4322" spans="2:2" x14ac:dyDescent="0.35">
      <c r="B4322" s="29"/>
    </row>
    <row r="4323" spans="2:2" x14ac:dyDescent="0.35">
      <c r="B4323" s="29"/>
    </row>
    <row r="4324" spans="2:2" x14ac:dyDescent="0.35">
      <c r="B4324" s="29"/>
    </row>
    <row r="4325" spans="2:2" x14ac:dyDescent="0.35">
      <c r="B4325" s="29"/>
    </row>
    <row r="4326" spans="2:2" x14ac:dyDescent="0.35">
      <c r="B4326" s="29"/>
    </row>
    <row r="4327" spans="2:2" x14ac:dyDescent="0.35">
      <c r="B4327" s="29"/>
    </row>
    <row r="4328" spans="2:2" x14ac:dyDescent="0.35">
      <c r="B4328" s="29"/>
    </row>
    <row r="4329" spans="2:2" x14ac:dyDescent="0.35">
      <c r="B4329" s="29"/>
    </row>
    <row r="4330" spans="2:2" x14ac:dyDescent="0.35">
      <c r="B4330" s="29"/>
    </row>
    <row r="4331" spans="2:2" x14ac:dyDescent="0.35">
      <c r="B4331" s="29"/>
    </row>
    <row r="4332" spans="2:2" x14ac:dyDescent="0.35">
      <c r="B4332" s="29"/>
    </row>
    <row r="4333" spans="2:2" x14ac:dyDescent="0.35">
      <c r="B4333" s="29"/>
    </row>
    <row r="4334" spans="2:2" x14ac:dyDescent="0.35">
      <c r="B4334" s="29"/>
    </row>
    <row r="4335" spans="2:2" x14ac:dyDescent="0.35">
      <c r="B4335" s="29"/>
    </row>
    <row r="4336" spans="2:2" x14ac:dyDescent="0.35">
      <c r="B4336" s="29"/>
    </row>
    <row r="4337" spans="2:2" x14ac:dyDescent="0.35">
      <c r="B4337" s="29"/>
    </row>
    <row r="4338" spans="2:2" x14ac:dyDescent="0.35">
      <c r="B4338" s="29"/>
    </row>
    <row r="4339" spans="2:2" x14ac:dyDescent="0.35">
      <c r="B4339" s="29"/>
    </row>
    <row r="4340" spans="2:2" x14ac:dyDescent="0.35">
      <c r="B4340" s="29"/>
    </row>
    <row r="4341" spans="2:2" x14ac:dyDescent="0.35">
      <c r="B4341" s="29"/>
    </row>
    <row r="4342" spans="2:2" x14ac:dyDescent="0.35">
      <c r="B4342" s="29"/>
    </row>
    <row r="4343" spans="2:2" x14ac:dyDescent="0.35">
      <c r="B4343" s="29"/>
    </row>
    <row r="4344" spans="2:2" x14ac:dyDescent="0.35">
      <c r="B4344" s="29"/>
    </row>
    <row r="4345" spans="2:2" x14ac:dyDescent="0.35">
      <c r="B4345" s="29"/>
    </row>
    <row r="4346" spans="2:2" x14ac:dyDescent="0.35">
      <c r="B4346" s="29"/>
    </row>
    <row r="4347" spans="2:2" x14ac:dyDescent="0.35">
      <c r="B4347" s="29"/>
    </row>
    <row r="4348" spans="2:2" x14ac:dyDescent="0.35">
      <c r="B4348" s="29"/>
    </row>
    <row r="4349" spans="2:2" x14ac:dyDescent="0.35">
      <c r="B4349" s="29"/>
    </row>
    <row r="4350" spans="2:2" x14ac:dyDescent="0.35">
      <c r="B4350" s="29"/>
    </row>
    <row r="4351" spans="2:2" x14ac:dyDescent="0.35">
      <c r="B4351" s="29"/>
    </row>
    <row r="4352" spans="2:2" x14ac:dyDescent="0.35">
      <c r="B4352" s="29"/>
    </row>
    <row r="4353" spans="2:2" x14ac:dyDescent="0.35">
      <c r="B4353" s="29"/>
    </row>
    <row r="4354" spans="2:2" x14ac:dyDescent="0.35">
      <c r="B4354" s="29"/>
    </row>
    <row r="4355" spans="2:2" x14ac:dyDescent="0.35">
      <c r="B4355" s="29"/>
    </row>
    <row r="4356" spans="2:2" x14ac:dyDescent="0.35">
      <c r="B4356" s="29"/>
    </row>
    <row r="4357" spans="2:2" x14ac:dyDescent="0.35">
      <c r="B4357" s="29"/>
    </row>
    <row r="4358" spans="2:2" x14ac:dyDescent="0.35">
      <c r="B4358" s="29"/>
    </row>
    <row r="4359" spans="2:2" x14ac:dyDescent="0.35">
      <c r="B4359" s="29"/>
    </row>
    <row r="4360" spans="2:2" x14ac:dyDescent="0.35">
      <c r="B4360" s="29"/>
    </row>
    <row r="4361" spans="2:2" x14ac:dyDescent="0.35">
      <c r="B4361" s="29"/>
    </row>
    <row r="4362" spans="2:2" x14ac:dyDescent="0.35">
      <c r="B4362" s="29"/>
    </row>
    <row r="4363" spans="2:2" x14ac:dyDescent="0.35">
      <c r="B4363" s="29"/>
    </row>
    <row r="4364" spans="2:2" x14ac:dyDescent="0.35">
      <c r="B4364" s="29"/>
    </row>
    <row r="4365" spans="2:2" x14ac:dyDescent="0.35">
      <c r="B4365" s="29"/>
    </row>
    <row r="4366" spans="2:2" x14ac:dyDescent="0.35">
      <c r="B4366" s="29"/>
    </row>
    <row r="4367" spans="2:2" x14ac:dyDescent="0.35">
      <c r="B4367" s="29"/>
    </row>
    <row r="4368" spans="2:2" x14ac:dyDescent="0.35">
      <c r="B4368" s="29"/>
    </row>
    <row r="4369" spans="2:2" x14ac:dyDescent="0.35">
      <c r="B4369" s="29"/>
    </row>
    <row r="4370" spans="2:2" x14ac:dyDescent="0.35">
      <c r="B4370" s="29"/>
    </row>
    <row r="4371" spans="2:2" x14ac:dyDescent="0.35">
      <c r="B4371" s="29"/>
    </row>
    <row r="4372" spans="2:2" x14ac:dyDescent="0.35">
      <c r="B4372" s="29"/>
    </row>
    <row r="4373" spans="2:2" x14ac:dyDescent="0.35">
      <c r="B4373" s="29"/>
    </row>
    <row r="4374" spans="2:2" x14ac:dyDescent="0.35">
      <c r="B4374" s="29"/>
    </row>
    <row r="4375" spans="2:2" x14ac:dyDescent="0.35">
      <c r="B4375" s="29"/>
    </row>
    <row r="4376" spans="2:2" x14ac:dyDescent="0.35">
      <c r="B4376" s="29"/>
    </row>
    <row r="4377" spans="2:2" x14ac:dyDescent="0.35">
      <c r="B4377" s="29"/>
    </row>
    <row r="4378" spans="2:2" x14ac:dyDescent="0.35">
      <c r="B4378" s="29"/>
    </row>
    <row r="4379" spans="2:2" x14ac:dyDescent="0.35">
      <c r="B4379" s="29"/>
    </row>
    <row r="4380" spans="2:2" x14ac:dyDescent="0.35">
      <c r="B4380" s="29"/>
    </row>
    <row r="4381" spans="2:2" x14ac:dyDescent="0.35">
      <c r="B4381" s="29"/>
    </row>
    <row r="4382" spans="2:2" x14ac:dyDescent="0.35">
      <c r="B4382" s="29"/>
    </row>
    <row r="4383" spans="2:2" x14ac:dyDescent="0.35">
      <c r="B4383" s="29"/>
    </row>
    <row r="4384" spans="2:2" x14ac:dyDescent="0.35">
      <c r="B4384" s="29"/>
    </row>
    <row r="4385" spans="2:2" x14ac:dyDescent="0.35">
      <c r="B4385" s="29"/>
    </row>
    <row r="4386" spans="2:2" x14ac:dyDescent="0.35">
      <c r="B4386" s="29"/>
    </row>
    <row r="4387" spans="2:2" x14ac:dyDescent="0.35">
      <c r="B4387" s="29"/>
    </row>
    <row r="4388" spans="2:2" x14ac:dyDescent="0.35">
      <c r="B4388" s="29"/>
    </row>
    <row r="4389" spans="2:2" x14ac:dyDescent="0.35">
      <c r="B4389" s="29"/>
    </row>
    <row r="4390" spans="2:2" x14ac:dyDescent="0.35">
      <c r="B4390" s="29"/>
    </row>
    <row r="4391" spans="2:2" x14ac:dyDescent="0.35">
      <c r="B4391" s="29"/>
    </row>
    <row r="4392" spans="2:2" x14ac:dyDescent="0.35">
      <c r="B4392" s="29"/>
    </row>
    <row r="4393" spans="2:2" x14ac:dyDescent="0.35">
      <c r="B4393" s="29"/>
    </row>
    <row r="4394" spans="2:2" x14ac:dyDescent="0.35">
      <c r="B4394" s="29"/>
    </row>
    <row r="4395" spans="2:2" x14ac:dyDescent="0.35">
      <c r="B4395" s="29"/>
    </row>
    <row r="4396" spans="2:2" x14ac:dyDescent="0.35">
      <c r="B4396" s="29"/>
    </row>
    <row r="4397" spans="2:2" x14ac:dyDescent="0.35">
      <c r="B4397" s="29"/>
    </row>
    <row r="4398" spans="2:2" x14ac:dyDescent="0.35">
      <c r="B4398" s="29"/>
    </row>
    <row r="4399" spans="2:2" x14ac:dyDescent="0.35">
      <c r="B4399" s="29"/>
    </row>
    <row r="4400" spans="2:2" x14ac:dyDescent="0.35">
      <c r="B4400" s="29"/>
    </row>
    <row r="4401" spans="2:2" x14ac:dyDescent="0.35">
      <c r="B4401" s="29"/>
    </row>
    <row r="4402" spans="2:2" x14ac:dyDescent="0.35">
      <c r="B4402" s="29"/>
    </row>
    <row r="4403" spans="2:2" x14ac:dyDescent="0.35">
      <c r="B4403" s="29"/>
    </row>
    <row r="4404" spans="2:2" x14ac:dyDescent="0.35">
      <c r="B4404" s="29"/>
    </row>
    <row r="4405" spans="2:2" x14ac:dyDescent="0.35">
      <c r="B4405" s="29"/>
    </row>
    <row r="4406" spans="2:2" x14ac:dyDescent="0.35">
      <c r="B4406" s="29"/>
    </row>
    <row r="4407" spans="2:2" x14ac:dyDescent="0.35">
      <c r="B4407" s="29"/>
    </row>
    <row r="4408" spans="2:2" x14ac:dyDescent="0.35">
      <c r="B4408" s="29"/>
    </row>
    <row r="4409" spans="2:2" x14ac:dyDescent="0.35">
      <c r="B4409" s="29"/>
    </row>
    <row r="4410" spans="2:2" x14ac:dyDescent="0.35">
      <c r="B4410" s="29"/>
    </row>
    <row r="4411" spans="2:2" x14ac:dyDescent="0.35">
      <c r="B4411" s="29"/>
    </row>
    <row r="4412" spans="2:2" x14ac:dyDescent="0.35">
      <c r="B4412" s="29"/>
    </row>
    <row r="4413" spans="2:2" x14ac:dyDescent="0.35">
      <c r="B4413" s="29"/>
    </row>
    <row r="4414" spans="2:2" x14ac:dyDescent="0.35">
      <c r="B4414" s="29"/>
    </row>
    <row r="4415" spans="2:2" x14ac:dyDescent="0.35">
      <c r="B4415" s="29"/>
    </row>
    <row r="4416" spans="2:2" x14ac:dyDescent="0.35">
      <c r="B4416" s="29"/>
    </row>
    <row r="4417" spans="2:2" x14ac:dyDescent="0.35">
      <c r="B4417" s="29"/>
    </row>
    <row r="4418" spans="2:2" x14ac:dyDescent="0.35">
      <c r="B4418" s="29"/>
    </row>
    <row r="4419" spans="2:2" x14ac:dyDescent="0.35">
      <c r="B4419" s="29"/>
    </row>
    <row r="4420" spans="2:2" x14ac:dyDescent="0.35">
      <c r="B4420" s="29"/>
    </row>
    <row r="4421" spans="2:2" x14ac:dyDescent="0.35">
      <c r="B4421" s="29"/>
    </row>
    <row r="4422" spans="2:2" x14ac:dyDescent="0.35">
      <c r="B4422" s="29"/>
    </row>
    <row r="4423" spans="2:2" x14ac:dyDescent="0.35">
      <c r="B4423" s="29"/>
    </row>
    <row r="4424" spans="2:2" x14ac:dyDescent="0.35">
      <c r="B4424" s="29"/>
    </row>
    <row r="4425" spans="2:2" x14ac:dyDescent="0.35">
      <c r="B4425" s="29"/>
    </row>
    <row r="4426" spans="2:2" x14ac:dyDescent="0.35">
      <c r="B4426" s="29"/>
    </row>
    <row r="4427" spans="2:2" x14ac:dyDescent="0.35">
      <c r="B4427" s="29"/>
    </row>
    <row r="4428" spans="2:2" x14ac:dyDescent="0.35">
      <c r="B4428" s="29"/>
    </row>
    <row r="4429" spans="2:2" x14ac:dyDescent="0.35">
      <c r="B4429" s="29"/>
    </row>
    <row r="4430" spans="2:2" x14ac:dyDescent="0.35">
      <c r="B4430" s="29"/>
    </row>
    <row r="4431" spans="2:2" x14ac:dyDescent="0.35">
      <c r="B4431" s="29"/>
    </row>
    <row r="4432" spans="2:2" x14ac:dyDescent="0.35">
      <c r="B4432" s="29"/>
    </row>
    <row r="4433" spans="2:2" x14ac:dyDescent="0.35">
      <c r="B4433" s="29"/>
    </row>
    <row r="4434" spans="2:2" x14ac:dyDescent="0.35">
      <c r="B4434" s="29"/>
    </row>
    <row r="4435" spans="2:2" x14ac:dyDescent="0.35">
      <c r="B4435" s="29"/>
    </row>
    <row r="4436" spans="2:2" x14ac:dyDescent="0.35">
      <c r="B4436" s="29"/>
    </row>
    <row r="4437" spans="2:2" x14ac:dyDescent="0.35">
      <c r="B4437" s="29"/>
    </row>
    <row r="4438" spans="2:2" x14ac:dyDescent="0.35">
      <c r="B4438" s="29"/>
    </row>
    <row r="4439" spans="2:2" x14ac:dyDescent="0.35">
      <c r="B4439" s="29"/>
    </row>
    <row r="4440" spans="2:2" x14ac:dyDescent="0.35">
      <c r="B4440" s="29"/>
    </row>
    <row r="4441" spans="2:2" x14ac:dyDescent="0.35">
      <c r="B4441" s="29"/>
    </row>
    <row r="4442" spans="2:2" x14ac:dyDescent="0.35">
      <c r="B4442" s="29"/>
    </row>
    <row r="4443" spans="2:2" x14ac:dyDescent="0.35">
      <c r="B4443" s="29"/>
    </row>
    <row r="4444" spans="2:2" x14ac:dyDescent="0.35">
      <c r="B4444" s="29"/>
    </row>
    <row r="4445" spans="2:2" x14ac:dyDescent="0.35">
      <c r="B4445" s="29"/>
    </row>
    <row r="4446" spans="2:2" x14ac:dyDescent="0.35">
      <c r="B4446" s="29"/>
    </row>
    <row r="4447" spans="2:2" x14ac:dyDescent="0.35">
      <c r="B4447" s="29"/>
    </row>
    <row r="4448" spans="2:2" x14ac:dyDescent="0.35">
      <c r="B4448" s="29"/>
    </row>
    <row r="4449" spans="2:2" x14ac:dyDescent="0.35">
      <c r="B4449" s="29"/>
    </row>
    <row r="4450" spans="2:2" x14ac:dyDescent="0.35">
      <c r="B4450" s="29"/>
    </row>
    <row r="4451" spans="2:2" x14ac:dyDescent="0.35">
      <c r="B4451" s="29"/>
    </row>
    <row r="4452" spans="2:2" x14ac:dyDescent="0.35">
      <c r="B4452" s="29"/>
    </row>
    <row r="4453" spans="2:2" x14ac:dyDescent="0.35">
      <c r="B4453" s="29"/>
    </row>
    <row r="4454" spans="2:2" x14ac:dyDescent="0.35">
      <c r="B4454" s="29"/>
    </row>
    <row r="4455" spans="2:2" x14ac:dyDescent="0.35">
      <c r="B4455" s="29"/>
    </row>
    <row r="4456" spans="2:2" x14ac:dyDescent="0.35">
      <c r="B4456" s="29"/>
    </row>
    <row r="4457" spans="2:2" x14ac:dyDescent="0.35">
      <c r="B4457" s="29"/>
    </row>
    <row r="4458" spans="2:2" x14ac:dyDescent="0.35">
      <c r="B4458" s="29"/>
    </row>
    <row r="4459" spans="2:2" x14ac:dyDescent="0.35">
      <c r="B4459" s="29"/>
    </row>
    <row r="4460" spans="2:2" x14ac:dyDescent="0.35">
      <c r="B4460" s="29"/>
    </row>
    <row r="4461" spans="2:2" x14ac:dyDescent="0.35">
      <c r="B4461" s="29"/>
    </row>
    <row r="4462" spans="2:2" x14ac:dyDescent="0.35">
      <c r="B4462" s="29"/>
    </row>
    <row r="4463" spans="2:2" x14ac:dyDescent="0.35">
      <c r="B4463" s="29"/>
    </row>
    <row r="4464" spans="2:2" x14ac:dyDescent="0.35">
      <c r="B4464" s="29"/>
    </row>
    <row r="4465" spans="2:2" x14ac:dyDescent="0.35">
      <c r="B4465" s="29"/>
    </row>
    <row r="4466" spans="2:2" x14ac:dyDescent="0.35">
      <c r="B4466" s="29"/>
    </row>
    <row r="4467" spans="2:2" x14ac:dyDescent="0.35">
      <c r="B4467" s="29"/>
    </row>
    <row r="4468" spans="2:2" x14ac:dyDescent="0.35">
      <c r="B4468" s="29"/>
    </row>
    <row r="4469" spans="2:2" x14ac:dyDescent="0.35">
      <c r="B4469" s="29"/>
    </row>
    <row r="4470" spans="2:2" x14ac:dyDescent="0.35">
      <c r="B4470" s="29"/>
    </row>
    <row r="4471" spans="2:2" x14ac:dyDescent="0.35">
      <c r="B4471" s="29"/>
    </row>
    <row r="4472" spans="2:2" x14ac:dyDescent="0.35">
      <c r="B4472" s="29"/>
    </row>
    <row r="4473" spans="2:2" x14ac:dyDescent="0.35">
      <c r="B4473" s="29"/>
    </row>
    <row r="4474" spans="2:2" x14ac:dyDescent="0.35">
      <c r="B4474" s="29"/>
    </row>
    <row r="4475" spans="2:2" x14ac:dyDescent="0.35">
      <c r="B4475" s="29"/>
    </row>
    <row r="4476" spans="2:2" x14ac:dyDescent="0.35">
      <c r="B4476" s="29"/>
    </row>
    <row r="4477" spans="2:2" x14ac:dyDescent="0.35">
      <c r="B4477" s="29"/>
    </row>
    <row r="4478" spans="2:2" x14ac:dyDescent="0.35">
      <c r="B4478" s="29"/>
    </row>
    <row r="4479" spans="2:2" x14ac:dyDescent="0.35">
      <c r="B4479" s="29"/>
    </row>
    <row r="4480" spans="2:2" x14ac:dyDescent="0.35">
      <c r="B4480" s="29"/>
    </row>
    <row r="4481" spans="2:2" x14ac:dyDescent="0.35">
      <c r="B4481" s="29"/>
    </row>
    <row r="4482" spans="2:2" x14ac:dyDescent="0.35">
      <c r="B4482" s="29"/>
    </row>
    <row r="4483" spans="2:2" x14ac:dyDescent="0.35">
      <c r="B4483" s="29"/>
    </row>
    <row r="4484" spans="2:2" x14ac:dyDescent="0.35">
      <c r="B4484" s="29"/>
    </row>
    <row r="4485" spans="2:2" x14ac:dyDescent="0.35">
      <c r="B4485" s="29"/>
    </row>
    <row r="4486" spans="2:2" x14ac:dyDescent="0.35">
      <c r="B4486" s="29"/>
    </row>
    <row r="4487" spans="2:2" x14ac:dyDescent="0.35">
      <c r="B4487" s="29"/>
    </row>
    <row r="4488" spans="2:2" x14ac:dyDescent="0.35">
      <c r="B4488" s="29"/>
    </row>
    <row r="4489" spans="2:2" x14ac:dyDescent="0.35">
      <c r="B4489" s="29"/>
    </row>
    <row r="4490" spans="2:2" x14ac:dyDescent="0.35">
      <c r="B4490" s="29"/>
    </row>
    <row r="4491" spans="2:2" x14ac:dyDescent="0.35">
      <c r="B4491" s="29"/>
    </row>
    <row r="4492" spans="2:2" x14ac:dyDescent="0.35">
      <c r="B4492" s="29"/>
    </row>
    <row r="4493" spans="2:2" x14ac:dyDescent="0.35">
      <c r="B4493" s="29"/>
    </row>
    <row r="4494" spans="2:2" x14ac:dyDescent="0.35">
      <c r="B4494" s="29"/>
    </row>
    <row r="4495" spans="2:2" x14ac:dyDescent="0.35">
      <c r="B4495" s="29"/>
    </row>
    <row r="4496" spans="2:2" x14ac:dyDescent="0.35">
      <c r="B4496" s="29"/>
    </row>
    <row r="4497" spans="2:2" x14ac:dyDescent="0.35">
      <c r="B4497" s="29"/>
    </row>
    <row r="4498" spans="2:2" x14ac:dyDescent="0.35">
      <c r="B4498" s="29"/>
    </row>
    <row r="4499" spans="2:2" x14ac:dyDescent="0.35">
      <c r="B4499" s="29"/>
    </row>
    <row r="4500" spans="2:2" x14ac:dyDescent="0.35">
      <c r="B4500" s="29"/>
    </row>
    <row r="4501" spans="2:2" x14ac:dyDescent="0.35">
      <c r="B4501" s="29"/>
    </row>
    <row r="4502" spans="2:2" x14ac:dyDescent="0.35">
      <c r="B4502" s="29"/>
    </row>
    <row r="4503" spans="2:2" x14ac:dyDescent="0.35">
      <c r="B4503" s="29"/>
    </row>
    <row r="4504" spans="2:2" x14ac:dyDescent="0.35">
      <c r="B4504" s="29"/>
    </row>
    <row r="4505" spans="2:2" x14ac:dyDescent="0.35">
      <c r="B4505" s="29"/>
    </row>
    <row r="4506" spans="2:2" x14ac:dyDescent="0.35">
      <c r="B4506" s="29"/>
    </row>
    <row r="4507" spans="2:2" x14ac:dyDescent="0.35">
      <c r="B4507" s="29"/>
    </row>
    <row r="4508" spans="2:2" x14ac:dyDescent="0.35">
      <c r="B4508" s="29"/>
    </row>
    <row r="4509" spans="2:2" x14ac:dyDescent="0.35">
      <c r="B4509" s="29"/>
    </row>
    <row r="4510" spans="2:2" x14ac:dyDescent="0.35">
      <c r="B4510" s="29"/>
    </row>
    <row r="4511" spans="2:2" x14ac:dyDescent="0.35">
      <c r="B4511" s="29"/>
    </row>
    <row r="4512" spans="2:2" x14ac:dyDescent="0.35">
      <c r="B4512" s="29"/>
    </row>
    <row r="4513" spans="2:2" x14ac:dyDescent="0.35">
      <c r="B4513" s="29"/>
    </row>
    <row r="4514" spans="2:2" x14ac:dyDescent="0.35">
      <c r="B4514" s="29"/>
    </row>
    <row r="4515" spans="2:2" x14ac:dyDescent="0.35">
      <c r="B4515" s="29"/>
    </row>
    <row r="4516" spans="2:2" x14ac:dyDescent="0.35">
      <c r="B4516" s="29"/>
    </row>
    <row r="4517" spans="2:2" x14ac:dyDescent="0.35">
      <c r="B4517" s="29"/>
    </row>
    <row r="4518" spans="2:2" x14ac:dyDescent="0.35">
      <c r="B4518" s="29"/>
    </row>
    <row r="4519" spans="2:2" x14ac:dyDescent="0.35">
      <c r="B4519" s="29"/>
    </row>
    <row r="4520" spans="2:2" x14ac:dyDescent="0.35">
      <c r="B4520" s="29"/>
    </row>
    <row r="4521" spans="2:2" x14ac:dyDescent="0.35">
      <c r="B4521" s="29"/>
    </row>
    <row r="4522" spans="2:2" x14ac:dyDescent="0.35">
      <c r="B4522" s="29"/>
    </row>
    <row r="4523" spans="2:2" x14ac:dyDescent="0.35">
      <c r="B4523" s="29"/>
    </row>
    <row r="4524" spans="2:2" x14ac:dyDescent="0.35">
      <c r="B4524" s="29"/>
    </row>
    <row r="4525" spans="2:2" x14ac:dyDescent="0.35">
      <c r="B4525" s="29"/>
    </row>
    <row r="4526" spans="2:2" x14ac:dyDescent="0.35">
      <c r="B4526" s="29"/>
    </row>
    <row r="4527" spans="2:2" x14ac:dyDescent="0.35">
      <c r="B4527" s="29"/>
    </row>
    <row r="4528" spans="2:2" x14ac:dyDescent="0.35">
      <c r="B4528" s="29"/>
    </row>
    <row r="4529" spans="2:2" x14ac:dyDescent="0.35">
      <c r="B4529" s="29"/>
    </row>
    <row r="4530" spans="2:2" x14ac:dyDescent="0.35">
      <c r="B4530" s="29"/>
    </row>
    <row r="4531" spans="2:2" x14ac:dyDescent="0.35">
      <c r="B4531" s="29"/>
    </row>
    <row r="4532" spans="2:2" x14ac:dyDescent="0.35">
      <c r="B4532" s="29"/>
    </row>
    <row r="4533" spans="2:2" x14ac:dyDescent="0.35">
      <c r="B4533" s="29"/>
    </row>
    <row r="4534" spans="2:2" x14ac:dyDescent="0.35">
      <c r="B4534" s="29"/>
    </row>
    <row r="4535" spans="2:2" x14ac:dyDescent="0.35">
      <c r="B4535" s="29"/>
    </row>
    <row r="4536" spans="2:2" x14ac:dyDescent="0.35">
      <c r="B4536" s="29"/>
    </row>
    <row r="4537" spans="2:2" x14ac:dyDescent="0.35">
      <c r="B4537" s="29"/>
    </row>
    <row r="4538" spans="2:2" x14ac:dyDescent="0.35">
      <c r="B4538" s="29"/>
    </row>
    <row r="4539" spans="2:2" x14ac:dyDescent="0.35">
      <c r="B4539" s="29"/>
    </row>
    <row r="4540" spans="2:2" x14ac:dyDescent="0.35">
      <c r="B4540" s="29"/>
    </row>
    <row r="4541" spans="2:2" x14ac:dyDescent="0.35">
      <c r="B4541" s="29"/>
    </row>
    <row r="4542" spans="2:2" x14ac:dyDescent="0.35">
      <c r="B4542" s="29"/>
    </row>
    <row r="4543" spans="2:2" x14ac:dyDescent="0.35">
      <c r="B4543" s="29"/>
    </row>
    <row r="4544" spans="2:2" x14ac:dyDescent="0.35">
      <c r="B4544" s="29"/>
    </row>
    <row r="4545" spans="2:2" x14ac:dyDescent="0.35">
      <c r="B4545" s="29"/>
    </row>
    <row r="4546" spans="2:2" x14ac:dyDescent="0.35">
      <c r="B4546" s="29"/>
    </row>
    <row r="4547" spans="2:2" x14ac:dyDescent="0.35">
      <c r="B4547" s="29"/>
    </row>
    <row r="4548" spans="2:2" x14ac:dyDescent="0.35">
      <c r="B4548" s="29"/>
    </row>
    <row r="4549" spans="2:2" x14ac:dyDescent="0.35">
      <c r="B4549" s="29"/>
    </row>
    <row r="4550" spans="2:2" x14ac:dyDescent="0.35">
      <c r="B4550" s="29"/>
    </row>
    <row r="4551" spans="2:2" x14ac:dyDescent="0.35">
      <c r="B4551" s="29"/>
    </row>
    <row r="4552" spans="2:2" x14ac:dyDescent="0.35">
      <c r="B4552" s="29"/>
    </row>
    <row r="4553" spans="2:2" x14ac:dyDescent="0.35">
      <c r="B4553" s="29"/>
    </row>
    <row r="4554" spans="2:2" x14ac:dyDescent="0.35">
      <c r="B4554" s="29"/>
    </row>
    <row r="4555" spans="2:2" x14ac:dyDescent="0.35">
      <c r="B4555" s="29"/>
    </row>
    <row r="4556" spans="2:2" x14ac:dyDescent="0.35">
      <c r="B4556" s="29"/>
    </row>
    <row r="4557" spans="2:2" x14ac:dyDescent="0.35">
      <c r="B4557" s="29"/>
    </row>
    <row r="4558" spans="2:2" x14ac:dyDescent="0.35">
      <c r="B4558" s="29"/>
    </row>
    <row r="4559" spans="2:2" x14ac:dyDescent="0.35">
      <c r="B4559" s="29"/>
    </row>
    <row r="4560" spans="2:2" x14ac:dyDescent="0.35">
      <c r="B4560" s="29"/>
    </row>
    <row r="4561" spans="2:2" x14ac:dyDescent="0.35">
      <c r="B4561" s="29"/>
    </row>
    <row r="4562" spans="2:2" x14ac:dyDescent="0.35">
      <c r="B4562" s="29"/>
    </row>
    <row r="4563" spans="2:2" x14ac:dyDescent="0.35">
      <c r="B4563" s="29"/>
    </row>
    <row r="4564" spans="2:2" x14ac:dyDescent="0.35">
      <c r="B4564" s="29"/>
    </row>
    <row r="4565" spans="2:2" x14ac:dyDescent="0.35">
      <c r="B4565" s="29"/>
    </row>
    <row r="4566" spans="2:2" x14ac:dyDescent="0.35">
      <c r="B4566" s="29"/>
    </row>
    <row r="4567" spans="2:2" x14ac:dyDescent="0.35">
      <c r="B4567" s="29"/>
    </row>
    <row r="4568" spans="2:2" x14ac:dyDescent="0.35">
      <c r="B4568" s="29"/>
    </row>
    <row r="4569" spans="2:2" x14ac:dyDescent="0.35">
      <c r="B4569" s="29"/>
    </row>
    <row r="4570" spans="2:2" x14ac:dyDescent="0.35">
      <c r="B4570" s="29"/>
    </row>
    <row r="4571" spans="2:2" x14ac:dyDescent="0.35">
      <c r="B4571" s="29"/>
    </row>
    <row r="4572" spans="2:2" x14ac:dyDescent="0.35">
      <c r="B4572" s="29"/>
    </row>
    <row r="4573" spans="2:2" x14ac:dyDescent="0.35">
      <c r="B4573" s="29"/>
    </row>
    <row r="4574" spans="2:2" x14ac:dyDescent="0.35">
      <c r="B4574" s="29"/>
    </row>
    <row r="4575" spans="2:2" x14ac:dyDescent="0.35">
      <c r="B4575" s="29"/>
    </row>
    <row r="4576" spans="2:2" x14ac:dyDescent="0.35">
      <c r="B4576" s="29"/>
    </row>
    <row r="4577" spans="2:2" x14ac:dyDescent="0.35">
      <c r="B4577" s="29"/>
    </row>
    <row r="4578" spans="2:2" x14ac:dyDescent="0.35">
      <c r="B4578" s="29"/>
    </row>
    <row r="4579" spans="2:2" x14ac:dyDescent="0.35">
      <c r="B4579" s="29"/>
    </row>
    <row r="4580" spans="2:2" x14ac:dyDescent="0.35">
      <c r="B4580" s="29"/>
    </row>
    <row r="4581" spans="2:2" x14ac:dyDescent="0.35">
      <c r="B4581" s="29"/>
    </row>
    <row r="4582" spans="2:2" x14ac:dyDescent="0.35">
      <c r="B4582" s="29"/>
    </row>
    <row r="4583" spans="2:2" x14ac:dyDescent="0.35">
      <c r="B4583" s="29"/>
    </row>
    <row r="4584" spans="2:2" x14ac:dyDescent="0.35">
      <c r="B4584" s="29"/>
    </row>
    <row r="4585" spans="2:2" x14ac:dyDescent="0.35">
      <c r="B4585" s="29"/>
    </row>
    <row r="4586" spans="2:2" x14ac:dyDescent="0.35">
      <c r="B4586" s="29"/>
    </row>
    <row r="4587" spans="2:2" x14ac:dyDescent="0.35">
      <c r="B4587" s="29"/>
    </row>
    <row r="4588" spans="2:2" x14ac:dyDescent="0.35">
      <c r="B4588" s="29"/>
    </row>
    <row r="4589" spans="2:2" x14ac:dyDescent="0.35">
      <c r="B4589" s="29"/>
    </row>
    <row r="4590" spans="2:2" x14ac:dyDescent="0.35">
      <c r="B4590" s="29"/>
    </row>
    <row r="4591" spans="2:2" x14ac:dyDescent="0.35">
      <c r="B4591" s="29"/>
    </row>
    <row r="4592" spans="2:2" x14ac:dyDescent="0.35">
      <c r="B4592" s="29"/>
    </row>
    <row r="4593" spans="2:2" x14ac:dyDescent="0.35">
      <c r="B4593" s="29"/>
    </row>
    <row r="4594" spans="2:2" x14ac:dyDescent="0.35">
      <c r="B4594" s="29"/>
    </row>
    <row r="4595" spans="2:2" x14ac:dyDescent="0.35">
      <c r="B4595" s="29"/>
    </row>
    <row r="4596" spans="2:2" x14ac:dyDescent="0.35">
      <c r="B4596" s="29"/>
    </row>
    <row r="4597" spans="2:2" x14ac:dyDescent="0.35">
      <c r="B4597" s="29"/>
    </row>
    <row r="4598" spans="2:2" x14ac:dyDescent="0.35">
      <c r="B4598" s="29"/>
    </row>
    <row r="4599" spans="2:2" x14ac:dyDescent="0.35">
      <c r="B4599" s="29"/>
    </row>
    <row r="4600" spans="2:2" x14ac:dyDescent="0.35">
      <c r="B4600" s="29"/>
    </row>
    <row r="4601" spans="2:2" x14ac:dyDescent="0.35">
      <c r="B4601" s="29"/>
    </row>
    <row r="4602" spans="2:2" x14ac:dyDescent="0.35">
      <c r="B4602" s="29"/>
    </row>
    <row r="4603" spans="2:2" x14ac:dyDescent="0.35">
      <c r="B4603" s="29"/>
    </row>
    <row r="4604" spans="2:2" x14ac:dyDescent="0.35">
      <c r="B4604" s="29"/>
    </row>
    <row r="4605" spans="2:2" x14ac:dyDescent="0.35">
      <c r="B4605" s="29"/>
    </row>
    <row r="4606" spans="2:2" x14ac:dyDescent="0.35">
      <c r="B4606" s="29"/>
    </row>
    <row r="4607" spans="2:2" x14ac:dyDescent="0.35">
      <c r="B4607" s="29"/>
    </row>
    <row r="4608" spans="2:2" x14ac:dyDescent="0.35">
      <c r="B4608" s="29"/>
    </row>
    <row r="4609" spans="2:2" x14ac:dyDescent="0.35">
      <c r="B4609" s="29"/>
    </row>
    <row r="4610" spans="2:2" x14ac:dyDescent="0.35">
      <c r="B4610" s="29"/>
    </row>
    <row r="4611" spans="2:2" x14ac:dyDescent="0.35">
      <c r="B4611" s="29"/>
    </row>
    <row r="4612" spans="2:2" x14ac:dyDescent="0.35">
      <c r="B4612" s="29"/>
    </row>
    <row r="4613" spans="2:2" x14ac:dyDescent="0.35">
      <c r="B4613" s="29"/>
    </row>
    <row r="4614" spans="2:2" x14ac:dyDescent="0.35">
      <c r="B4614" s="29"/>
    </row>
    <row r="4615" spans="2:2" x14ac:dyDescent="0.35">
      <c r="B4615" s="29"/>
    </row>
    <row r="4616" spans="2:2" x14ac:dyDescent="0.35">
      <c r="B4616" s="29"/>
    </row>
    <row r="4617" spans="2:2" x14ac:dyDescent="0.35">
      <c r="B4617" s="29"/>
    </row>
    <row r="4618" spans="2:2" x14ac:dyDescent="0.35">
      <c r="B4618" s="29"/>
    </row>
    <row r="4619" spans="2:2" x14ac:dyDescent="0.35">
      <c r="B4619" s="29"/>
    </row>
    <row r="4620" spans="2:2" x14ac:dyDescent="0.35">
      <c r="B4620" s="29"/>
    </row>
    <row r="4621" spans="2:2" x14ac:dyDescent="0.35">
      <c r="B4621" s="29"/>
    </row>
    <row r="4622" spans="2:2" x14ac:dyDescent="0.35">
      <c r="B4622" s="29"/>
    </row>
    <row r="4623" spans="2:2" x14ac:dyDescent="0.35">
      <c r="B4623" s="29"/>
    </row>
    <row r="4624" spans="2:2" x14ac:dyDescent="0.35">
      <c r="B4624" s="29"/>
    </row>
    <row r="4625" spans="2:2" x14ac:dyDescent="0.35">
      <c r="B4625" s="29"/>
    </row>
    <row r="4626" spans="2:2" x14ac:dyDescent="0.35">
      <c r="B4626" s="29"/>
    </row>
    <row r="4627" spans="2:2" ht="15.5" thickBot="1" x14ac:dyDescent="0.4">
      <c r="B4627" s="32"/>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4">
    <tabColor theme="3" tint="0.59999389629810485"/>
  </sheetPr>
  <dimension ref="B1:H4589"/>
  <sheetViews>
    <sheetView showGridLines="0" zoomScaleNormal="100" zoomScalePageLayoutView="90" workbookViewId="0">
      <selection activeCell="C5" sqref="C5"/>
    </sheetView>
  </sheetViews>
  <sheetFormatPr defaultColWidth="7" defaultRowHeight="15" x14ac:dyDescent="0.35"/>
  <cols>
    <col min="1" max="1" width="4.1796875" style="13" customWidth="1"/>
    <col min="2" max="2" width="13.7265625" style="13" customWidth="1"/>
    <col min="3" max="3" width="55.1796875" style="13" bestFit="1" customWidth="1"/>
    <col min="4" max="4" width="15.453125" style="13" customWidth="1"/>
    <col min="5" max="6" width="25.453125" style="13" bestFit="1" customWidth="1"/>
    <col min="7" max="7" width="36.08984375" style="13" bestFit="1" customWidth="1"/>
    <col min="8" max="8" width="7.26953125" style="13" bestFit="1" customWidth="1"/>
    <col min="9" max="16384" width="7" style="13"/>
  </cols>
  <sheetData>
    <row r="1" spans="2:8" x14ac:dyDescent="0.35">
      <c r="B1" s="24"/>
    </row>
    <row r="2" spans="2:8" x14ac:dyDescent="0.35">
      <c r="B2" s="14" t="s">
        <v>16</v>
      </c>
    </row>
    <row r="3" spans="2:8" x14ac:dyDescent="0.35">
      <c r="B3" s="15" t="s">
        <v>9</v>
      </c>
      <c r="C3" s="16" t="s">
        <v>130</v>
      </c>
      <c r="D3" s="16" t="s">
        <v>60</v>
      </c>
      <c r="E3" s="16" t="s">
        <v>131</v>
      </c>
      <c r="F3" s="15" t="s">
        <v>81</v>
      </c>
      <c r="G3" s="13" t="s">
        <v>256</v>
      </c>
    </row>
    <row r="4" spans="2:8" ht="30" x14ac:dyDescent="0.35">
      <c r="B4" s="37" t="s">
        <v>198</v>
      </c>
      <c r="C4" s="18" t="s">
        <v>201</v>
      </c>
      <c r="D4" s="21" t="s">
        <v>62</v>
      </c>
      <c r="E4" s="56">
        <v>40000000</v>
      </c>
      <c r="F4" s="19" t="s">
        <v>244</v>
      </c>
      <c r="G4" s="13" t="s">
        <v>266</v>
      </c>
      <c r="H4" s="66">
        <f>E4/30000000</f>
        <v>1.3333333333333333</v>
      </c>
    </row>
    <row r="5" spans="2:8" ht="30" x14ac:dyDescent="0.35">
      <c r="B5" s="37"/>
      <c r="C5" s="18" t="s">
        <v>202</v>
      </c>
      <c r="D5" s="21" t="s">
        <v>62</v>
      </c>
      <c r="E5" s="56">
        <v>40000000</v>
      </c>
      <c r="F5" s="19"/>
      <c r="G5" s="13" t="s">
        <v>266</v>
      </c>
      <c r="H5" s="66">
        <f>E5/30000000</f>
        <v>1.3333333333333333</v>
      </c>
    </row>
    <row r="6" spans="2:8" ht="30" x14ac:dyDescent="0.35">
      <c r="B6" s="37"/>
      <c r="C6" s="18" t="s">
        <v>172</v>
      </c>
      <c r="D6" s="21" t="s">
        <v>62</v>
      </c>
      <c r="E6" s="56">
        <v>82706552.450000003</v>
      </c>
      <c r="F6" s="19" t="s">
        <v>245</v>
      </c>
    </row>
    <row r="7" spans="2:8" x14ac:dyDescent="0.35">
      <c r="B7" s="37"/>
      <c r="C7" s="18" t="s">
        <v>173</v>
      </c>
      <c r="D7" s="21" t="s">
        <v>62</v>
      </c>
      <c r="E7" s="56">
        <v>143355868.63</v>
      </c>
      <c r="F7" s="19" t="s">
        <v>246</v>
      </c>
    </row>
    <row r="8" spans="2:8" ht="45" x14ac:dyDescent="0.35">
      <c r="B8" s="37"/>
      <c r="C8" s="21" t="s">
        <v>216</v>
      </c>
      <c r="D8" s="18" t="s">
        <v>65</v>
      </c>
      <c r="E8" s="19" t="s">
        <v>225</v>
      </c>
      <c r="F8" s="19"/>
    </row>
    <row r="9" spans="2:8" ht="30" x14ac:dyDescent="0.35">
      <c r="B9" s="37"/>
      <c r="C9" s="18" t="s">
        <v>203</v>
      </c>
      <c r="D9" s="18" t="s">
        <v>65</v>
      </c>
      <c r="E9" s="19" t="s">
        <v>225</v>
      </c>
      <c r="F9" s="19" t="s">
        <v>247</v>
      </c>
      <c r="H9" s="13" t="str">
        <f>E9</f>
        <v>No</v>
      </c>
    </row>
    <row r="10" spans="2:8" x14ac:dyDescent="0.35">
      <c r="B10" s="37"/>
      <c r="C10" s="18" t="s">
        <v>204</v>
      </c>
      <c r="D10" s="18" t="s">
        <v>65</v>
      </c>
      <c r="E10" s="19" t="s">
        <v>225</v>
      </c>
      <c r="F10" s="19"/>
      <c r="H10" s="13" t="str">
        <f>E10</f>
        <v>No</v>
      </c>
    </row>
    <row r="11" spans="2:8" ht="30" x14ac:dyDescent="0.35">
      <c r="B11" s="37"/>
      <c r="C11" s="18" t="s">
        <v>68</v>
      </c>
      <c r="D11" s="18" t="s">
        <v>62</v>
      </c>
      <c r="E11" s="19" t="s">
        <v>248</v>
      </c>
      <c r="F11" s="19" t="s">
        <v>249</v>
      </c>
    </row>
    <row r="12" spans="2:8" x14ac:dyDescent="0.35">
      <c r="B12" s="37"/>
      <c r="C12" s="21" t="s">
        <v>174</v>
      </c>
      <c r="D12" s="18" t="s">
        <v>62</v>
      </c>
      <c r="E12" s="19" t="s">
        <v>250</v>
      </c>
      <c r="F12" s="57" t="s">
        <v>251</v>
      </c>
    </row>
    <row r="13" spans="2:8" ht="30" x14ac:dyDescent="0.35">
      <c r="B13" s="37"/>
      <c r="C13" s="21" t="s">
        <v>175</v>
      </c>
      <c r="D13" s="18" t="s">
        <v>61</v>
      </c>
      <c r="E13" s="57" t="s">
        <v>252</v>
      </c>
      <c r="F13" s="19" t="s">
        <v>253</v>
      </c>
    </row>
    <row r="14" spans="2:8" ht="30" x14ac:dyDescent="0.35">
      <c r="B14" s="37"/>
      <c r="C14" s="21" t="s">
        <v>176</v>
      </c>
      <c r="D14" s="18" t="s">
        <v>65</v>
      </c>
      <c r="E14" s="19" t="s">
        <v>223</v>
      </c>
      <c r="F14" s="19"/>
    </row>
    <row r="15" spans="2:8" ht="45" x14ac:dyDescent="0.35">
      <c r="B15" s="37"/>
      <c r="C15" s="21" t="s">
        <v>177</v>
      </c>
      <c r="D15" s="18" t="s">
        <v>65</v>
      </c>
      <c r="E15" s="19" t="s">
        <v>225</v>
      </c>
      <c r="F15" s="19"/>
    </row>
    <row r="16" spans="2:8" x14ac:dyDescent="0.35">
      <c r="B16" s="25"/>
      <c r="C16" s="23"/>
      <c r="D16" s="23"/>
      <c r="E16" s="23"/>
      <c r="F16" s="23"/>
    </row>
    <row r="17" spans="2:8" x14ac:dyDescent="0.35">
      <c r="B17" s="37" t="s">
        <v>7</v>
      </c>
      <c r="C17" s="18" t="s">
        <v>178</v>
      </c>
      <c r="D17" s="18" t="s">
        <v>62</v>
      </c>
      <c r="E17" s="45">
        <v>3154422</v>
      </c>
      <c r="F17" s="19" t="s">
        <v>243</v>
      </c>
      <c r="G17" s="13" t="s">
        <v>268</v>
      </c>
      <c r="H17" s="72">
        <f>E17/E19</f>
        <v>1.726217508412187E-2</v>
      </c>
    </row>
    <row r="18" spans="2:8" x14ac:dyDescent="0.35">
      <c r="B18" s="37"/>
      <c r="C18" s="18" t="s">
        <v>179</v>
      </c>
      <c r="D18" s="18" t="s">
        <v>62</v>
      </c>
      <c r="E18" s="45">
        <v>145890490</v>
      </c>
      <c r="F18" s="19"/>
      <c r="H18" s="72">
        <f>E18/E20</f>
        <v>0.78481955039668538</v>
      </c>
    </row>
    <row r="19" spans="2:8" x14ac:dyDescent="0.35">
      <c r="B19" s="37"/>
      <c r="C19" s="18" t="s">
        <v>180</v>
      </c>
      <c r="D19" s="18" t="s">
        <v>62</v>
      </c>
      <c r="E19" s="45">
        <v>182736068</v>
      </c>
      <c r="F19" s="19" t="s">
        <v>243</v>
      </c>
    </row>
    <row r="20" spans="2:8" x14ac:dyDescent="0.35">
      <c r="B20" s="37"/>
      <c r="C20" s="18" t="s">
        <v>181</v>
      </c>
      <c r="D20" s="18" t="s">
        <v>62</v>
      </c>
      <c r="E20" s="45">
        <v>185890489</v>
      </c>
      <c r="F20" s="19"/>
    </row>
    <row r="21" spans="2:8" ht="30" x14ac:dyDescent="0.35">
      <c r="B21" s="37"/>
      <c r="C21" s="21" t="s">
        <v>182</v>
      </c>
      <c r="D21" s="18" t="s">
        <v>61</v>
      </c>
      <c r="E21" s="71">
        <v>0.94</v>
      </c>
      <c r="F21" s="19" t="s">
        <v>253</v>
      </c>
    </row>
    <row r="22" spans="2:8" ht="30" x14ac:dyDescent="0.35">
      <c r="B22" s="37"/>
      <c r="C22" s="18" t="s">
        <v>69</v>
      </c>
      <c r="D22" s="18" t="s">
        <v>65</v>
      </c>
      <c r="E22" s="19" t="s">
        <v>225</v>
      </c>
      <c r="F22" s="19" t="s">
        <v>247</v>
      </c>
    </row>
    <row r="3584" spans="2:6" x14ac:dyDescent="0.35">
      <c r="B3584" s="28"/>
      <c r="C3584" s="29"/>
      <c r="D3584" s="30"/>
      <c r="E3584" s="30"/>
      <c r="F3584" s="30"/>
    </row>
    <row r="3585" spans="2:6" x14ac:dyDescent="0.35">
      <c r="B3585" s="28"/>
      <c r="C3585" s="29"/>
      <c r="D3585" s="30"/>
      <c r="E3585" s="30"/>
      <c r="F3585" s="30"/>
    </row>
    <row r="3586" spans="2:6" x14ac:dyDescent="0.35">
      <c r="B3586" s="28"/>
      <c r="C3586" s="29"/>
      <c r="D3586" s="30"/>
      <c r="E3586" s="30"/>
      <c r="F3586" s="30"/>
    </row>
    <row r="3587" spans="2:6" x14ac:dyDescent="0.35">
      <c r="B3587" s="28"/>
      <c r="C3587" s="29"/>
      <c r="D3587" s="30"/>
      <c r="E3587" s="30"/>
      <c r="F3587" s="30"/>
    </row>
    <row r="3588" spans="2:6" x14ac:dyDescent="0.35">
      <c r="B3588" s="28"/>
      <c r="C3588" s="29"/>
      <c r="D3588" s="30"/>
      <c r="E3588" s="30"/>
      <c r="F3588" s="30"/>
    </row>
    <row r="3589" spans="2:6" x14ac:dyDescent="0.35">
      <c r="B3589" s="28"/>
      <c r="C3589" s="29"/>
      <c r="D3589" s="30"/>
      <c r="E3589" s="30"/>
      <c r="F3589" s="30"/>
    </row>
    <row r="3590" spans="2:6" x14ac:dyDescent="0.35">
      <c r="B3590" s="28"/>
      <c r="C3590" s="29"/>
      <c r="D3590" s="30"/>
      <c r="E3590" s="30"/>
      <c r="F3590" s="30"/>
    </row>
    <row r="3591" spans="2:6" x14ac:dyDescent="0.35">
      <c r="B3591" s="28"/>
      <c r="C3591" s="29"/>
      <c r="D3591" s="30"/>
      <c r="E3591" s="30"/>
      <c r="F3591" s="30"/>
    </row>
    <row r="3592" spans="2:6" x14ac:dyDescent="0.35">
      <c r="B3592" s="28"/>
      <c r="C3592" s="29"/>
      <c r="D3592" s="30"/>
      <c r="E3592" s="30"/>
      <c r="F3592" s="30"/>
    </row>
    <row r="3593" spans="2:6" x14ac:dyDescent="0.35">
      <c r="B3593" s="28"/>
      <c r="C3593" s="29"/>
      <c r="D3593" s="30"/>
      <c r="E3593" s="30"/>
      <c r="F3593" s="30"/>
    </row>
    <row r="3594" spans="2:6" x14ac:dyDescent="0.35">
      <c r="B3594" s="28"/>
      <c r="C3594" s="29"/>
      <c r="D3594" s="30"/>
      <c r="E3594" s="30"/>
      <c r="F3594" s="30"/>
    </row>
    <row r="3595" spans="2:6" x14ac:dyDescent="0.35">
      <c r="B3595" s="28"/>
      <c r="C3595" s="29"/>
      <c r="D3595" s="30"/>
      <c r="E3595" s="30"/>
      <c r="F3595" s="30"/>
    </row>
    <row r="3596" spans="2:6" x14ac:dyDescent="0.35">
      <c r="B3596" s="28"/>
      <c r="C3596" s="29"/>
      <c r="D3596" s="30"/>
      <c r="E3596" s="30"/>
      <c r="F3596" s="30"/>
    </row>
    <row r="3597" spans="2:6" x14ac:dyDescent="0.35">
      <c r="B3597" s="28"/>
      <c r="C3597" s="29"/>
      <c r="D3597" s="30"/>
      <c r="E3597" s="30"/>
      <c r="F3597" s="30"/>
    </row>
    <row r="3598" spans="2:6" x14ac:dyDescent="0.35">
      <c r="B3598" s="28"/>
      <c r="C3598" s="29"/>
      <c r="D3598" s="30"/>
      <c r="E3598" s="30"/>
      <c r="F3598" s="30"/>
    </row>
    <row r="3599" spans="2:6" x14ac:dyDescent="0.35">
      <c r="B3599" s="28"/>
      <c r="C3599" s="29"/>
      <c r="D3599" s="30"/>
      <c r="E3599" s="30"/>
      <c r="F3599" s="30"/>
    </row>
    <row r="3600" spans="2:6" x14ac:dyDescent="0.35">
      <c r="B3600" s="28"/>
      <c r="C3600" s="29"/>
      <c r="D3600" s="30"/>
      <c r="E3600" s="30"/>
      <c r="F3600" s="30"/>
    </row>
    <row r="3601" spans="2:6" x14ac:dyDescent="0.35">
      <c r="B3601" s="28"/>
      <c r="C3601" s="29"/>
      <c r="D3601" s="30"/>
      <c r="E3601" s="30"/>
      <c r="F3601" s="30"/>
    </row>
    <row r="3602" spans="2:6" x14ac:dyDescent="0.35">
      <c r="B3602" s="28"/>
      <c r="C3602" s="29"/>
      <c r="D3602" s="30"/>
      <c r="E3602" s="30"/>
      <c r="F3602" s="30"/>
    </row>
    <row r="3603" spans="2:6" x14ac:dyDescent="0.35">
      <c r="B3603" s="28"/>
      <c r="C3603" s="29"/>
      <c r="D3603" s="30"/>
      <c r="E3603" s="30"/>
      <c r="F3603" s="30"/>
    </row>
    <row r="3604" spans="2:6" x14ac:dyDescent="0.35">
      <c r="B3604" s="28"/>
      <c r="C3604" s="29"/>
      <c r="D3604" s="30"/>
      <c r="E3604" s="30"/>
      <c r="F3604" s="30"/>
    </row>
    <row r="3605" spans="2:6" x14ac:dyDescent="0.35">
      <c r="B3605" s="28"/>
      <c r="C3605" s="29"/>
      <c r="D3605" s="30"/>
      <c r="E3605" s="30"/>
      <c r="F3605" s="30"/>
    </row>
    <row r="3606" spans="2:6" x14ac:dyDescent="0.35">
      <c r="B3606" s="28"/>
      <c r="C3606" s="29"/>
      <c r="D3606" s="30"/>
      <c r="E3606" s="30"/>
      <c r="F3606" s="30"/>
    </row>
    <row r="3607" spans="2:6" x14ac:dyDescent="0.35">
      <c r="B3607" s="28"/>
      <c r="C3607" s="29"/>
      <c r="D3607" s="30"/>
      <c r="E3607" s="30"/>
      <c r="F3607" s="30"/>
    </row>
    <row r="3608" spans="2:6" x14ac:dyDescent="0.35">
      <c r="B3608" s="28"/>
      <c r="C3608" s="29"/>
      <c r="D3608" s="30"/>
      <c r="E3608" s="30"/>
      <c r="F3608" s="30"/>
    </row>
    <row r="3609" spans="2:6" x14ac:dyDescent="0.35">
      <c r="B3609" s="28"/>
      <c r="C3609" s="29"/>
      <c r="D3609" s="30"/>
      <c r="E3609" s="30"/>
      <c r="F3609" s="30"/>
    </row>
    <row r="3610" spans="2:6" x14ac:dyDescent="0.35">
      <c r="B3610" s="28"/>
      <c r="C3610" s="29"/>
      <c r="D3610" s="30"/>
      <c r="E3610" s="30"/>
      <c r="F3610" s="30"/>
    </row>
    <row r="3611" spans="2:6" x14ac:dyDescent="0.35">
      <c r="B3611" s="28"/>
      <c r="C3611" s="29"/>
      <c r="D3611" s="30"/>
      <c r="E3611" s="30"/>
      <c r="F3611" s="30"/>
    </row>
    <row r="3612" spans="2:6" x14ac:dyDescent="0.35">
      <c r="B3612" s="28"/>
      <c r="C3612" s="29"/>
      <c r="D3612" s="30"/>
      <c r="E3612" s="30"/>
      <c r="F3612" s="30"/>
    </row>
    <row r="3613" spans="2:6" x14ac:dyDescent="0.35">
      <c r="B3613" s="28"/>
      <c r="C3613" s="29"/>
      <c r="D3613" s="30"/>
      <c r="E3613" s="30"/>
      <c r="F3613" s="30"/>
    </row>
    <row r="3614" spans="2:6" x14ac:dyDescent="0.35">
      <c r="B3614" s="28"/>
      <c r="C3614" s="29"/>
      <c r="D3614" s="30"/>
      <c r="E3614" s="30"/>
      <c r="F3614" s="30"/>
    </row>
    <row r="3615" spans="2:6" x14ac:dyDescent="0.35">
      <c r="B3615" s="28"/>
      <c r="C3615" s="29"/>
      <c r="D3615" s="30"/>
      <c r="E3615" s="30"/>
      <c r="F3615" s="30"/>
    </row>
    <row r="3616" spans="2:6" x14ac:dyDescent="0.35">
      <c r="B3616" s="28"/>
      <c r="C3616" s="29"/>
      <c r="D3616" s="30"/>
      <c r="E3616" s="30"/>
      <c r="F3616" s="30"/>
    </row>
    <row r="3617" spans="2:6" x14ac:dyDescent="0.35">
      <c r="B3617" s="28"/>
      <c r="C3617" s="29"/>
      <c r="D3617" s="30"/>
      <c r="E3617" s="30"/>
      <c r="F3617" s="30"/>
    </row>
    <row r="3618" spans="2:6" x14ac:dyDescent="0.35">
      <c r="B3618" s="28"/>
      <c r="C3618" s="29"/>
      <c r="D3618" s="30"/>
      <c r="E3618" s="30"/>
      <c r="F3618" s="30"/>
    </row>
    <row r="3619" spans="2:6" x14ac:dyDescent="0.35">
      <c r="B3619" s="28"/>
      <c r="C3619" s="29"/>
      <c r="D3619" s="30"/>
      <c r="E3619" s="30"/>
      <c r="F3619" s="30"/>
    </row>
    <row r="3620" spans="2:6" x14ac:dyDescent="0.35">
      <c r="B3620" s="28"/>
      <c r="C3620" s="29"/>
      <c r="D3620" s="30"/>
      <c r="E3620" s="30"/>
      <c r="F3620" s="30"/>
    </row>
    <row r="3621" spans="2:6" x14ac:dyDescent="0.35">
      <c r="B3621" s="28"/>
      <c r="C3621" s="29"/>
      <c r="D3621" s="30"/>
      <c r="E3621" s="30"/>
      <c r="F3621" s="30"/>
    </row>
    <row r="3622" spans="2:6" x14ac:dyDescent="0.35">
      <c r="B3622" s="28"/>
      <c r="C3622" s="29"/>
      <c r="D3622" s="30"/>
      <c r="E3622" s="30"/>
      <c r="F3622" s="30"/>
    </row>
    <row r="3623" spans="2:6" x14ac:dyDescent="0.35">
      <c r="B3623" s="28"/>
      <c r="C3623" s="29"/>
      <c r="D3623" s="30"/>
      <c r="E3623" s="30"/>
      <c r="F3623" s="30"/>
    </row>
    <row r="3624" spans="2:6" x14ac:dyDescent="0.35">
      <c r="B3624" s="28"/>
      <c r="C3624" s="29"/>
      <c r="D3624" s="30"/>
      <c r="E3624" s="30"/>
      <c r="F3624" s="30"/>
    </row>
    <row r="3625" spans="2:6" x14ac:dyDescent="0.35">
      <c r="B3625" s="28"/>
      <c r="C3625" s="29"/>
      <c r="D3625" s="30"/>
      <c r="E3625" s="30"/>
      <c r="F3625" s="30"/>
    </row>
    <row r="3626" spans="2:6" x14ac:dyDescent="0.35">
      <c r="B3626" s="28"/>
      <c r="C3626" s="29"/>
      <c r="D3626" s="30"/>
      <c r="E3626" s="30"/>
      <c r="F3626" s="30"/>
    </row>
    <row r="3627" spans="2:6" x14ac:dyDescent="0.35">
      <c r="B3627" s="28"/>
      <c r="C3627" s="29"/>
      <c r="D3627" s="30"/>
      <c r="E3627" s="30"/>
      <c r="F3627" s="30"/>
    </row>
    <row r="3628" spans="2:6" x14ac:dyDescent="0.35">
      <c r="B3628" s="28"/>
      <c r="C3628" s="29"/>
      <c r="D3628" s="30"/>
      <c r="E3628" s="30"/>
      <c r="F3628" s="30"/>
    </row>
    <row r="3629" spans="2:6" x14ac:dyDescent="0.35">
      <c r="B3629" s="28"/>
      <c r="C3629" s="29"/>
      <c r="D3629" s="30"/>
      <c r="E3629" s="30"/>
      <c r="F3629" s="30"/>
    </row>
    <row r="3630" spans="2:6" x14ac:dyDescent="0.35">
      <c r="B3630" s="28"/>
      <c r="C3630" s="29"/>
      <c r="D3630" s="30"/>
      <c r="E3630" s="30"/>
      <c r="F3630" s="30"/>
    </row>
    <row r="3631" spans="2:6" x14ac:dyDescent="0.35">
      <c r="B3631" s="28"/>
      <c r="C3631" s="29"/>
      <c r="D3631" s="30"/>
      <c r="E3631" s="30"/>
      <c r="F3631" s="30"/>
    </row>
    <row r="3632" spans="2:6" x14ac:dyDescent="0.35">
      <c r="B3632" s="28"/>
      <c r="C3632" s="29"/>
      <c r="D3632" s="30"/>
      <c r="E3632" s="30"/>
      <c r="F3632" s="30"/>
    </row>
    <row r="3633" spans="2:6" x14ac:dyDescent="0.35">
      <c r="B3633" s="28"/>
      <c r="C3633" s="29"/>
      <c r="D3633" s="30"/>
      <c r="E3633" s="30"/>
      <c r="F3633" s="30"/>
    </row>
    <row r="3634" spans="2:6" x14ac:dyDescent="0.35">
      <c r="B3634" s="28"/>
      <c r="C3634" s="29"/>
      <c r="D3634" s="30"/>
      <c r="E3634" s="30"/>
      <c r="F3634" s="30"/>
    </row>
    <row r="3635" spans="2:6" x14ac:dyDescent="0.35">
      <c r="B3635" s="28"/>
      <c r="C3635" s="29"/>
      <c r="D3635" s="30"/>
      <c r="E3635" s="30"/>
      <c r="F3635" s="30"/>
    </row>
    <row r="3636" spans="2:6" x14ac:dyDescent="0.35">
      <c r="B3636" s="28"/>
      <c r="C3636" s="29"/>
      <c r="D3636" s="30"/>
      <c r="E3636" s="30"/>
      <c r="F3636" s="30"/>
    </row>
    <row r="3637" spans="2:6" x14ac:dyDescent="0.35">
      <c r="B3637" s="28"/>
      <c r="C3637" s="29"/>
      <c r="D3637" s="30"/>
      <c r="E3637" s="30"/>
      <c r="F3637" s="30"/>
    </row>
    <row r="3638" spans="2:6" x14ac:dyDescent="0.35">
      <c r="B3638" s="28"/>
      <c r="C3638" s="29"/>
      <c r="D3638" s="30"/>
      <c r="E3638" s="30"/>
      <c r="F3638" s="30"/>
    </row>
    <row r="3639" spans="2:6" x14ac:dyDescent="0.35">
      <c r="B3639" s="28"/>
      <c r="C3639" s="29"/>
      <c r="D3639" s="30"/>
      <c r="E3639" s="30"/>
      <c r="F3639" s="30"/>
    </row>
    <row r="3640" spans="2:6" x14ac:dyDescent="0.35">
      <c r="B3640" s="28"/>
      <c r="C3640" s="29"/>
      <c r="D3640" s="30"/>
      <c r="E3640" s="30"/>
      <c r="F3640" s="30"/>
    </row>
    <row r="3641" spans="2:6" x14ac:dyDescent="0.35">
      <c r="B3641" s="28"/>
      <c r="C3641" s="29"/>
      <c r="D3641" s="30"/>
      <c r="E3641" s="30"/>
      <c r="F3641" s="30"/>
    </row>
    <row r="3642" spans="2:6" x14ac:dyDescent="0.35">
      <c r="B3642" s="28"/>
      <c r="C3642" s="29"/>
      <c r="D3642" s="30"/>
      <c r="E3642" s="30"/>
      <c r="F3642" s="30"/>
    </row>
    <row r="3643" spans="2:6" x14ac:dyDescent="0.35">
      <c r="B3643" s="28"/>
      <c r="C3643" s="29"/>
      <c r="D3643" s="30"/>
      <c r="E3643" s="30"/>
      <c r="F3643" s="30"/>
    </row>
    <row r="3644" spans="2:6" x14ac:dyDescent="0.35">
      <c r="B3644" s="28"/>
      <c r="C3644" s="29"/>
      <c r="D3644" s="30"/>
      <c r="E3644" s="30"/>
      <c r="F3644" s="30"/>
    </row>
    <row r="3645" spans="2:6" x14ac:dyDescent="0.35">
      <c r="B3645" s="28"/>
      <c r="C3645" s="29"/>
      <c r="D3645" s="30"/>
      <c r="E3645" s="30"/>
      <c r="F3645" s="30"/>
    </row>
    <row r="3646" spans="2:6" x14ac:dyDescent="0.35">
      <c r="B3646" s="28"/>
      <c r="C3646" s="29"/>
      <c r="D3646" s="30"/>
      <c r="E3646" s="30"/>
      <c r="F3646" s="30"/>
    </row>
    <row r="3647" spans="2:6" x14ac:dyDescent="0.35">
      <c r="B3647" s="28"/>
      <c r="C3647" s="29"/>
      <c r="D3647" s="30"/>
      <c r="E3647" s="30"/>
      <c r="F3647" s="30"/>
    </row>
    <row r="3648" spans="2:6" x14ac:dyDescent="0.35">
      <c r="B3648" s="28"/>
      <c r="C3648" s="29"/>
      <c r="D3648" s="30"/>
      <c r="E3648" s="30"/>
      <c r="F3648" s="30"/>
    </row>
    <row r="3649" spans="2:6" x14ac:dyDescent="0.35">
      <c r="B3649" s="28"/>
      <c r="C3649" s="29"/>
      <c r="D3649" s="30"/>
      <c r="E3649" s="30"/>
      <c r="F3649" s="30"/>
    </row>
    <row r="3650" spans="2:6" x14ac:dyDescent="0.35">
      <c r="B3650" s="28"/>
      <c r="C3650" s="29"/>
      <c r="D3650" s="30"/>
      <c r="E3650" s="30"/>
      <c r="F3650" s="30"/>
    </row>
    <row r="3651" spans="2:6" x14ac:dyDescent="0.35">
      <c r="B3651" s="28"/>
      <c r="C3651" s="29"/>
      <c r="D3651" s="30"/>
      <c r="E3651" s="30"/>
      <c r="F3651" s="30"/>
    </row>
    <row r="3652" spans="2:6" x14ac:dyDescent="0.35">
      <c r="B3652" s="28"/>
      <c r="C3652" s="29"/>
      <c r="D3652" s="30"/>
      <c r="E3652" s="30"/>
      <c r="F3652" s="30"/>
    </row>
    <row r="3653" spans="2:6" x14ac:dyDescent="0.35">
      <c r="B3653" s="28"/>
      <c r="C3653" s="29"/>
      <c r="D3653" s="30"/>
      <c r="E3653" s="30"/>
      <c r="F3653" s="30"/>
    </row>
    <row r="3654" spans="2:6" x14ac:dyDescent="0.35">
      <c r="B3654" s="28"/>
      <c r="C3654" s="29"/>
      <c r="D3654" s="30"/>
      <c r="E3654" s="30"/>
      <c r="F3654" s="30"/>
    </row>
    <row r="3655" spans="2:6" x14ac:dyDescent="0.35">
      <c r="B3655" s="28"/>
      <c r="C3655" s="29"/>
      <c r="D3655" s="30"/>
      <c r="E3655" s="30"/>
      <c r="F3655" s="30"/>
    </row>
    <row r="3656" spans="2:6" x14ac:dyDescent="0.35">
      <c r="B3656" s="28"/>
      <c r="C3656" s="29"/>
      <c r="D3656" s="30"/>
      <c r="E3656" s="30"/>
      <c r="F3656" s="30"/>
    </row>
    <row r="3657" spans="2:6" x14ac:dyDescent="0.35">
      <c r="B3657" s="28"/>
      <c r="C3657" s="29"/>
      <c r="D3657" s="30"/>
      <c r="E3657" s="30"/>
      <c r="F3657" s="30"/>
    </row>
    <row r="3658" spans="2:6" x14ac:dyDescent="0.35">
      <c r="B3658" s="28"/>
      <c r="C3658" s="29"/>
      <c r="D3658" s="30"/>
      <c r="E3658" s="30"/>
      <c r="F3658" s="30"/>
    </row>
    <row r="3659" spans="2:6" x14ac:dyDescent="0.35">
      <c r="B3659" s="28"/>
      <c r="C3659" s="29"/>
      <c r="D3659" s="30"/>
      <c r="E3659" s="30"/>
      <c r="F3659" s="30"/>
    </row>
    <row r="3660" spans="2:6" x14ac:dyDescent="0.35">
      <c r="B3660" s="28"/>
      <c r="C3660" s="29"/>
      <c r="D3660" s="30"/>
      <c r="E3660" s="30"/>
      <c r="F3660" s="30"/>
    </row>
    <row r="3661" spans="2:6" x14ac:dyDescent="0.35">
      <c r="B3661" s="28"/>
      <c r="C3661" s="29"/>
      <c r="D3661" s="30"/>
      <c r="E3661" s="30"/>
      <c r="F3661" s="30"/>
    </row>
    <row r="3662" spans="2:6" x14ac:dyDescent="0.35">
      <c r="B3662" s="28"/>
      <c r="C3662" s="29"/>
      <c r="D3662" s="30"/>
      <c r="E3662" s="30"/>
      <c r="F3662" s="30"/>
    </row>
    <row r="3663" spans="2:6" x14ac:dyDescent="0.35">
      <c r="B3663" s="28"/>
      <c r="C3663" s="29"/>
      <c r="D3663" s="30"/>
      <c r="E3663" s="30"/>
      <c r="F3663" s="30"/>
    </row>
    <row r="3664" spans="2:6" x14ac:dyDescent="0.35">
      <c r="B3664" s="28"/>
      <c r="C3664" s="29"/>
      <c r="D3664" s="30"/>
      <c r="E3664" s="30"/>
      <c r="F3664" s="30"/>
    </row>
    <row r="3665" spans="2:6" x14ac:dyDescent="0.35">
      <c r="B3665" s="28"/>
      <c r="C3665" s="29"/>
      <c r="D3665" s="30"/>
      <c r="E3665" s="30"/>
      <c r="F3665" s="30"/>
    </row>
    <row r="3666" spans="2:6" x14ac:dyDescent="0.35">
      <c r="B3666" s="28"/>
      <c r="C3666" s="29"/>
      <c r="D3666" s="30"/>
      <c r="E3666" s="30"/>
      <c r="F3666" s="30"/>
    </row>
    <row r="3667" spans="2:6" x14ac:dyDescent="0.35">
      <c r="B3667" s="28"/>
      <c r="C3667" s="29"/>
      <c r="D3667" s="30"/>
      <c r="E3667" s="30"/>
      <c r="F3667" s="30"/>
    </row>
    <row r="3668" spans="2:6" x14ac:dyDescent="0.35">
      <c r="B3668" s="28"/>
      <c r="C3668" s="29"/>
      <c r="D3668" s="30"/>
      <c r="E3668" s="30"/>
      <c r="F3668" s="30"/>
    </row>
    <row r="3669" spans="2:6" x14ac:dyDescent="0.35">
      <c r="B3669" s="28"/>
      <c r="C3669" s="29"/>
      <c r="D3669" s="30"/>
      <c r="E3669" s="30"/>
      <c r="F3669" s="30"/>
    </row>
    <row r="3670" spans="2:6" x14ac:dyDescent="0.35">
      <c r="B3670" s="28"/>
      <c r="C3670" s="29"/>
      <c r="D3670" s="30"/>
      <c r="E3670" s="30"/>
      <c r="F3670" s="30"/>
    </row>
    <row r="3671" spans="2:6" x14ac:dyDescent="0.35">
      <c r="B3671" s="28"/>
      <c r="C3671" s="29"/>
      <c r="D3671" s="30"/>
      <c r="E3671" s="30"/>
      <c r="F3671" s="30"/>
    </row>
    <row r="3672" spans="2:6" x14ac:dyDescent="0.35">
      <c r="B3672" s="28"/>
      <c r="C3672" s="29"/>
      <c r="D3672" s="30"/>
      <c r="E3672" s="30"/>
      <c r="F3672" s="30"/>
    </row>
    <row r="3673" spans="2:6" x14ac:dyDescent="0.35">
      <c r="B3673" s="28"/>
      <c r="C3673" s="29"/>
      <c r="D3673" s="30"/>
      <c r="E3673" s="30"/>
      <c r="F3673" s="30"/>
    </row>
    <row r="3674" spans="2:6" x14ac:dyDescent="0.35">
      <c r="B3674" s="28"/>
      <c r="C3674" s="29"/>
      <c r="D3674" s="30"/>
      <c r="E3674" s="30"/>
      <c r="F3674" s="30"/>
    </row>
    <row r="3675" spans="2:6" x14ac:dyDescent="0.35">
      <c r="B3675" s="28"/>
      <c r="C3675" s="29"/>
      <c r="D3675" s="30"/>
      <c r="E3675" s="30"/>
      <c r="F3675" s="30"/>
    </row>
    <row r="3676" spans="2:6" x14ac:dyDescent="0.35">
      <c r="B3676" s="28"/>
      <c r="C3676" s="29"/>
      <c r="D3676" s="30"/>
      <c r="E3676" s="30"/>
      <c r="F3676" s="30"/>
    </row>
    <row r="3677" spans="2:6" x14ac:dyDescent="0.35">
      <c r="B3677" s="28"/>
      <c r="C3677" s="29"/>
      <c r="D3677" s="30"/>
      <c r="E3677" s="30"/>
      <c r="F3677" s="30"/>
    </row>
    <row r="3678" spans="2:6" x14ac:dyDescent="0.35">
      <c r="B3678" s="28"/>
      <c r="C3678" s="29"/>
      <c r="D3678" s="30"/>
      <c r="E3678" s="30"/>
      <c r="F3678" s="30"/>
    </row>
    <row r="3679" spans="2:6" x14ac:dyDescent="0.35">
      <c r="B3679" s="28"/>
      <c r="C3679" s="29"/>
      <c r="D3679" s="30"/>
      <c r="E3679" s="30"/>
      <c r="F3679" s="30"/>
    </row>
    <row r="3680" spans="2:6" x14ac:dyDescent="0.35">
      <c r="B3680" s="28"/>
      <c r="C3680" s="29"/>
      <c r="D3680" s="30"/>
      <c r="E3680" s="30"/>
      <c r="F3680" s="30"/>
    </row>
    <row r="3681" spans="2:6" x14ac:dyDescent="0.35">
      <c r="B3681" s="28"/>
      <c r="C3681" s="29"/>
      <c r="D3681" s="30"/>
      <c r="E3681" s="30"/>
      <c r="F3681" s="30"/>
    </row>
    <row r="3682" spans="2:6" x14ac:dyDescent="0.35">
      <c r="B3682" s="28"/>
      <c r="C3682" s="29"/>
      <c r="D3682" s="30"/>
      <c r="E3682" s="30"/>
      <c r="F3682" s="30"/>
    </row>
    <row r="3683" spans="2:6" x14ac:dyDescent="0.35">
      <c r="B3683" s="28"/>
      <c r="C3683" s="29"/>
      <c r="D3683" s="30"/>
      <c r="E3683" s="30"/>
      <c r="F3683" s="30"/>
    </row>
    <row r="3684" spans="2:6" x14ac:dyDescent="0.35">
      <c r="B3684" s="28"/>
      <c r="C3684" s="29"/>
      <c r="D3684" s="30"/>
      <c r="E3684" s="30"/>
      <c r="F3684" s="30"/>
    </row>
    <row r="3685" spans="2:6" x14ac:dyDescent="0.35">
      <c r="B3685" s="28"/>
      <c r="C3685" s="29"/>
      <c r="D3685" s="30"/>
      <c r="E3685" s="30"/>
      <c r="F3685" s="30"/>
    </row>
    <row r="3686" spans="2:6" x14ac:dyDescent="0.35">
      <c r="B3686" s="28"/>
      <c r="C3686" s="29"/>
      <c r="D3686" s="30"/>
      <c r="E3686" s="30"/>
      <c r="F3686" s="30"/>
    </row>
    <row r="3687" spans="2:6" x14ac:dyDescent="0.35">
      <c r="B3687" s="28"/>
      <c r="C3687" s="29"/>
      <c r="D3687" s="30"/>
      <c r="E3687" s="30"/>
      <c r="F3687" s="30"/>
    </row>
    <row r="3688" spans="2:6" x14ac:dyDescent="0.35">
      <c r="B3688" s="28"/>
      <c r="C3688" s="29"/>
      <c r="D3688" s="30"/>
      <c r="E3688" s="30"/>
      <c r="F3688" s="30"/>
    </row>
    <row r="3689" spans="2:6" x14ac:dyDescent="0.35">
      <c r="B3689" s="28"/>
      <c r="C3689" s="29"/>
      <c r="D3689" s="30"/>
      <c r="E3689" s="30"/>
      <c r="F3689" s="30"/>
    </row>
    <row r="3690" spans="2:6" x14ac:dyDescent="0.35">
      <c r="B3690" s="28"/>
      <c r="C3690" s="29"/>
      <c r="D3690" s="30"/>
      <c r="E3690" s="30"/>
      <c r="F3690" s="30"/>
    </row>
    <row r="3691" spans="2:6" x14ac:dyDescent="0.35">
      <c r="B3691" s="28"/>
      <c r="C3691" s="29"/>
      <c r="D3691" s="30"/>
      <c r="E3691" s="30"/>
      <c r="F3691" s="30"/>
    </row>
    <row r="3692" spans="2:6" x14ac:dyDescent="0.35">
      <c r="B3692" s="28"/>
      <c r="C3692" s="29"/>
      <c r="D3692" s="30"/>
      <c r="E3692" s="30"/>
      <c r="F3692" s="30"/>
    </row>
    <row r="3693" spans="2:6" x14ac:dyDescent="0.35">
      <c r="B3693" s="28"/>
      <c r="C3693" s="29"/>
      <c r="D3693" s="30"/>
      <c r="E3693" s="30"/>
      <c r="F3693" s="30"/>
    </row>
    <row r="3694" spans="2:6" x14ac:dyDescent="0.35">
      <c r="B3694" s="28"/>
      <c r="C3694" s="29"/>
      <c r="D3694" s="30"/>
      <c r="E3694" s="30"/>
      <c r="F3694" s="30"/>
    </row>
    <row r="3695" spans="2:6" x14ac:dyDescent="0.35">
      <c r="B3695" s="28"/>
      <c r="C3695" s="29"/>
      <c r="D3695" s="30"/>
      <c r="E3695" s="30"/>
      <c r="F3695" s="30"/>
    </row>
    <row r="3696" spans="2:6" x14ac:dyDescent="0.35">
      <c r="B3696" s="28"/>
      <c r="C3696" s="29"/>
      <c r="D3696" s="30"/>
      <c r="E3696" s="30"/>
      <c r="F3696" s="30"/>
    </row>
    <row r="3697" spans="2:6" x14ac:dyDescent="0.35">
      <c r="B3697" s="28"/>
      <c r="C3697" s="29"/>
      <c r="D3697" s="30"/>
      <c r="E3697" s="30"/>
      <c r="F3697" s="30"/>
    </row>
    <row r="3698" spans="2:6" x14ac:dyDescent="0.35">
      <c r="B3698" s="28"/>
      <c r="C3698" s="29"/>
      <c r="D3698" s="30"/>
      <c r="E3698" s="30"/>
      <c r="F3698" s="30"/>
    </row>
    <row r="3699" spans="2:6" x14ac:dyDescent="0.35">
      <c r="B3699" s="28"/>
      <c r="C3699" s="29"/>
      <c r="D3699" s="30"/>
      <c r="E3699" s="30"/>
      <c r="F3699" s="30"/>
    </row>
    <row r="3700" spans="2:6" x14ac:dyDescent="0.35">
      <c r="B3700" s="28"/>
      <c r="C3700" s="29"/>
      <c r="D3700" s="30"/>
      <c r="E3700" s="30"/>
      <c r="F3700" s="30"/>
    </row>
    <row r="3701" spans="2:6" x14ac:dyDescent="0.35">
      <c r="B3701" s="28"/>
      <c r="C3701" s="29"/>
      <c r="D3701" s="30"/>
      <c r="E3701" s="30"/>
      <c r="F3701" s="30"/>
    </row>
    <row r="3702" spans="2:6" x14ac:dyDescent="0.35">
      <c r="B3702" s="28"/>
      <c r="C3702" s="29"/>
      <c r="D3702" s="30"/>
      <c r="E3702" s="30"/>
      <c r="F3702" s="30"/>
    </row>
    <row r="3703" spans="2:6" x14ac:dyDescent="0.35">
      <c r="B3703" s="28"/>
      <c r="C3703" s="29"/>
      <c r="D3703" s="30"/>
      <c r="E3703" s="30"/>
      <c r="F3703" s="30"/>
    </row>
    <row r="3704" spans="2:6" x14ac:dyDescent="0.35">
      <c r="B3704" s="28"/>
      <c r="C3704" s="29"/>
      <c r="D3704" s="30"/>
      <c r="E3704" s="30"/>
      <c r="F3704" s="30"/>
    </row>
    <row r="3705" spans="2:6" x14ac:dyDescent="0.35">
      <c r="B3705" s="28"/>
      <c r="C3705" s="29"/>
      <c r="D3705" s="30"/>
      <c r="E3705" s="30"/>
      <c r="F3705" s="30"/>
    </row>
    <row r="3706" spans="2:6" x14ac:dyDescent="0.35">
      <c r="B3706" s="28"/>
      <c r="C3706" s="29"/>
      <c r="D3706" s="30"/>
      <c r="E3706" s="30"/>
      <c r="F3706" s="30"/>
    </row>
    <row r="3707" spans="2:6" x14ac:dyDescent="0.35">
      <c r="B3707" s="28"/>
      <c r="C3707" s="29"/>
      <c r="D3707" s="30"/>
      <c r="E3707" s="30"/>
      <c r="F3707" s="30"/>
    </row>
    <row r="3708" spans="2:6" x14ac:dyDescent="0.35">
      <c r="B3708" s="28"/>
      <c r="C3708" s="29"/>
      <c r="D3708" s="30"/>
      <c r="E3708" s="30"/>
      <c r="F3708" s="30"/>
    </row>
    <row r="3709" spans="2:6" x14ac:dyDescent="0.35">
      <c r="B3709" s="28"/>
      <c r="C3709" s="29"/>
      <c r="D3709" s="30"/>
      <c r="E3709" s="30"/>
      <c r="F3709" s="30"/>
    </row>
    <row r="3710" spans="2:6" x14ac:dyDescent="0.35">
      <c r="B3710" s="28"/>
      <c r="C3710" s="29"/>
      <c r="D3710" s="30"/>
      <c r="E3710" s="30"/>
      <c r="F3710" s="30"/>
    </row>
    <row r="3711" spans="2:6" x14ac:dyDescent="0.35">
      <c r="B3711" s="28"/>
      <c r="C3711" s="29"/>
      <c r="D3711" s="30"/>
      <c r="E3711" s="30"/>
      <c r="F3711" s="30"/>
    </row>
    <row r="3712" spans="2:6" x14ac:dyDescent="0.35">
      <c r="B3712" s="28"/>
      <c r="C3712" s="29"/>
      <c r="D3712" s="30"/>
      <c r="E3712" s="30"/>
      <c r="F3712" s="30"/>
    </row>
    <row r="3713" spans="2:6" x14ac:dyDescent="0.35">
      <c r="B3713" s="28"/>
      <c r="C3713" s="29"/>
      <c r="D3713" s="30"/>
      <c r="E3713" s="30"/>
      <c r="F3713" s="30"/>
    </row>
    <row r="3714" spans="2:6" x14ac:dyDescent="0.35">
      <c r="B3714" s="28"/>
      <c r="C3714" s="29"/>
      <c r="D3714" s="30"/>
      <c r="E3714" s="30"/>
      <c r="F3714" s="30"/>
    </row>
    <row r="3715" spans="2:6" x14ac:dyDescent="0.35">
      <c r="B3715" s="28"/>
      <c r="C3715" s="29"/>
      <c r="D3715" s="30"/>
      <c r="E3715" s="30"/>
      <c r="F3715" s="30"/>
    </row>
    <row r="3716" spans="2:6" x14ac:dyDescent="0.35">
      <c r="B3716" s="28"/>
      <c r="C3716" s="29"/>
      <c r="D3716" s="30"/>
      <c r="E3716" s="30"/>
      <c r="F3716" s="30"/>
    </row>
    <row r="3717" spans="2:6" x14ac:dyDescent="0.35">
      <c r="B3717" s="28"/>
      <c r="C3717" s="29"/>
      <c r="D3717" s="30"/>
      <c r="E3717" s="30"/>
      <c r="F3717" s="30"/>
    </row>
    <row r="3718" spans="2:6" x14ac:dyDescent="0.35">
      <c r="B3718" s="28"/>
      <c r="C3718" s="29"/>
      <c r="D3718" s="30"/>
      <c r="E3718" s="30"/>
      <c r="F3718" s="30"/>
    </row>
    <row r="3719" spans="2:6" x14ac:dyDescent="0.35">
      <c r="B3719" s="28"/>
      <c r="C3719" s="29"/>
      <c r="D3719" s="30"/>
      <c r="E3719" s="30"/>
      <c r="F3719" s="30"/>
    </row>
    <row r="3720" spans="2:6" x14ac:dyDescent="0.35">
      <c r="B3720" s="28"/>
      <c r="C3720" s="29"/>
      <c r="D3720" s="30"/>
      <c r="E3720" s="30"/>
      <c r="F3720" s="30"/>
    </row>
    <row r="3721" spans="2:6" x14ac:dyDescent="0.35">
      <c r="B3721" s="28"/>
      <c r="C3721" s="29"/>
      <c r="D3721" s="30"/>
      <c r="E3721" s="30"/>
      <c r="F3721" s="30"/>
    </row>
    <row r="3722" spans="2:6" x14ac:dyDescent="0.35">
      <c r="B3722" s="28"/>
      <c r="C3722" s="29"/>
      <c r="D3722" s="30"/>
      <c r="E3722" s="30"/>
      <c r="F3722" s="30"/>
    </row>
    <row r="3723" spans="2:6" x14ac:dyDescent="0.35">
      <c r="B3723" s="28"/>
      <c r="C3723" s="29"/>
      <c r="D3723" s="30"/>
      <c r="E3723" s="30"/>
      <c r="F3723" s="30"/>
    </row>
    <row r="3724" spans="2:6" x14ac:dyDescent="0.35">
      <c r="B3724" s="28"/>
      <c r="C3724" s="29"/>
      <c r="D3724" s="30"/>
      <c r="E3724" s="30"/>
      <c r="F3724" s="30"/>
    </row>
    <row r="3725" spans="2:6" x14ac:dyDescent="0.35">
      <c r="B3725" s="28"/>
      <c r="C3725" s="29"/>
      <c r="D3725" s="30"/>
      <c r="E3725" s="30"/>
      <c r="F3725" s="30"/>
    </row>
    <row r="3726" spans="2:6" x14ac:dyDescent="0.35">
      <c r="B3726" s="28"/>
      <c r="C3726" s="29"/>
      <c r="D3726" s="30"/>
      <c r="E3726" s="30"/>
      <c r="F3726" s="30"/>
    </row>
    <row r="3727" spans="2:6" x14ac:dyDescent="0.35">
      <c r="B3727" s="28"/>
      <c r="C3727" s="29"/>
      <c r="D3727" s="30"/>
      <c r="E3727" s="30"/>
      <c r="F3727" s="30"/>
    </row>
    <row r="3728" spans="2:6" x14ac:dyDescent="0.35">
      <c r="B3728" s="28"/>
      <c r="C3728" s="29"/>
      <c r="D3728" s="30"/>
      <c r="E3728" s="30"/>
      <c r="F3728" s="30"/>
    </row>
    <row r="3729" spans="2:6" x14ac:dyDescent="0.35">
      <c r="B3729" s="28"/>
      <c r="C3729" s="29"/>
      <c r="D3729" s="30"/>
      <c r="E3729" s="30"/>
      <c r="F3729" s="30"/>
    </row>
    <row r="3730" spans="2:6" x14ac:dyDescent="0.35">
      <c r="B3730" s="28"/>
      <c r="C3730" s="29"/>
      <c r="D3730" s="30"/>
      <c r="E3730" s="30"/>
      <c r="F3730" s="30"/>
    </row>
    <row r="3731" spans="2:6" x14ac:dyDescent="0.35">
      <c r="B3731" s="28"/>
      <c r="C3731" s="29"/>
      <c r="D3731" s="30"/>
      <c r="E3731" s="30"/>
      <c r="F3731" s="30"/>
    </row>
    <row r="3732" spans="2:6" x14ac:dyDescent="0.35">
      <c r="B3732" s="28"/>
      <c r="C3732" s="29"/>
      <c r="D3732" s="30"/>
      <c r="E3732" s="30"/>
      <c r="F3732" s="30"/>
    </row>
    <row r="3733" spans="2:6" x14ac:dyDescent="0.35">
      <c r="B3733" s="28"/>
      <c r="C3733" s="29"/>
      <c r="D3733" s="30"/>
      <c r="E3733" s="30"/>
      <c r="F3733" s="30"/>
    </row>
    <row r="3734" spans="2:6" x14ac:dyDescent="0.35">
      <c r="B3734" s="28"/>
      <c r="C3734" s="29"/>
      <c r="D3734" s="30"/>
      <c r="E3734" s="30"/>
      <c r="F3734" s="30"/>
    </row>
    <row r="3735" spans="2:6" x14ac:dyDescent="0.35">
      <c r="B3735" s="28"/>
      <c r="C3735" s="29"/>
      <c r="D3735" s="30"/>
      <c r="E3735" s="30"/>
      <c r="F3735" s="30"/>
    </row>
    <row r="3736" spans="2:6" x14ac:dyDescent="0.35">
      <c r="B3736" s="28"/>
      <c r="C3736" s="29"/>
      <c r="D3736" s="30"/>
      <c r="E3736" s="30"/>
      <c r="F3736" s="30"/>
    </row>
    <row r="3737" spans="2:6" x14ac:dyDescent="0.35">
      <c r="B3737" s="28"/>
      <c r="C3737" s="29"/>
      <c r="D3737" s="30"/>
      <c r="E3737" s="30"/>
      <c r="F3737" s="30"/>
    </row>
    <row r="3738" spans="2:6" x14ac:dyDescent="0.35">
      <c r="B3738" s="28"/>
      <c r="C3738" s="29"/>
      <c r="D3738" s="30"/>
      <c r="E3738" s="30"/>
      <c r="F3738" s="30"/>
    </row>
    <row r="3739" spans="2:6" x14ac:dyDescent="0.35">
      <c r="B3739" s="28"/>
      <c r="C3739" s="29"/>
      <c r="D3739" s="30"/>
      <c r="E3739" s="30"/>
      <c r="F3739" s="30"/>
    </row>
    <row r="3740" spans="2:6" x14ac:dyDescent="0.35">
      <c r="B3740" s="28"/>
      <c r="C3740" s="29"/>
      <c r="D3740" s="30"/>
      <c r="E3740" s="30"/>
      <c r="F3740" s="30"/>
    </row>
    <row r="3741" spans="2:6" x14ac:dyDescent="0.35">
      <c r="B3741" s="28"/>
      <c r="C3741" s="29"/>
      <c r="D3741" s="30"/>
      <c r="E3741" s="30"/>
      <c r="F3741" s="30"/>
    </row>
    <row r="3742" spans="2:6" x14ac:dyDescent="0.35">
      <c r="B3742" s="28"/>
      <c r="C3742" s="29"/>
      <c r="D3742" s="30"/>
      <c r="E3742" s="30"/>
      <c r="F3742" s="30"/>
    </row>
    <row r="3743" spans="2:6" x14ac:dyDescent="0.35">
      <c r="B3743" s="28"/>
      <c r="C3743" s="29"/>
      <c r="D3743" s="30"/>
      <c r="E3743" s="30"/>
      <c r="F3743" s="30"/>
    </row>
    <row r="3744" spans="2:6" x14ac:dyDescent="0.35">
      <c r="B3744" s="28"/>
      <c r="C3744" s="29"/>
      <c r="D3744" s="30"/>
      <c r="E3744" s="30"/>
      <c r="F3744" s="30"/>
    </row>
    <row r="3745" spans="2:6" x14ac:dyDescent="0.35">
      <c r="B3745" s="28"/>
      <c r="C3745" s="29"/>
      <c r="D3745" s="30"/>
      <c r="E3745" s="30"/>
      <c r="F3745" s="30"/>
    </row>
    <row r="3746" spans="2:6" x14ac:dyDescent="0.35">
      <c r="B3746" s="28"/>
      <c r="C3746" s="29"/>
      <c r="D3746" s="30"/>
      <c r="E3746" s="30"/>
      <c r="F3746" s="30"/>
    </row>
    <row r="3747" spans="2:6" x14ac:dyDescent="0.35">
      <c r="B3747" s="28"/>
      <c r="C3747" s="29"/>
      <c r="D3747" s="30"/>
      <c r="E3747" s="30"/>
      <c r="F3747" s="30"/>
    </row>
    <row r="3748" spans="2:6" x14ac:dyDescent="0.35">
      <c r="B3748" s="28"/>
      <c r="C3748" s="29"/>
      <c r="D3748" s="30"/>
      <c r="E3748" s="30"/>
      <c r="F3748" s="30"/>
    </row>
    <row r="3749" spans="2:6" x14ac:dyDescent="0.35">
      <c r="B3749" s="28"/>
      <c r="C3749" s="29"/>
      <c r="D3749" s="30"/>
      <c r="E3749" s="30"/>
      <c r="F3749" s="30"/>
    </row>
    <row r="3750" spans="2:6" x14ac:dyDescent="0.35">
      <c r="B3750" s="28"/>
      <c r="C3750" s="29"/>
      <c r="D3750" s="30"/>
      <c r="E3750" s="30"/>
      <c r="F3750" s="30"/>
    </row>
    <row r="3751" spans="2:6" x14ac:dyDescent="0.35">
      <c r="B3751" s="28"/>
      <c r="C3751" s="29"/>
      <c r="D3751" s="30"/>
      <c r="E3751" s="30"/>
      <c r="F3751" s="30"/>
    </row>
    <row r="3752" spans="2:6" x14ac:dyDescent="0.35">
      <c r="B3752" s="28"/>
      <c r="C3752" s="29"/>
      <c r="D3752" s="30"/>
      <c r="E3752" s="30"/>
      <c r="F3752" s="30"/>
    </row>
    <row r="3753" spans="2:6" x14ac:dyDescent="0.35">
      <c r="B3753" s="28"/>
      <c r="C3753" s="29"/>
      <c r="D3753" s="30"/>
      <c r="E3753" s="30"/>
      <c r="F3753" s="30"/>
    </row>
    <row r="3754" spans="2:6" x14ac:dyDescent="0.35">
      <c r="B3754" s="28"/>
      <c r="C3754" s="29"/>
      <c r="D3754" s="30"/>
      <c r="E3754" s="30"/>
      <c r="F3754" s="30"/>
    </row>
    <row r="3755" spans="2:6" x14ac:dyDescent="0.35">
      <c r="B3755" s="28"/>
      <c r="C3755" s="29"/>
      <c r="D3755" s="30"/>
      <c r="E3755" s="30"/>
      <c r="F3755" s="30"/>
    </row>
    <row r="3756" spans="2:6" x14ac:dyDescent="0.35">
      <c r="B3756" s="28"/>
      <c r="C3756" s="29"/>
      <c r="D3756" s="30"/>
      <c r="E3756" s="30"/>
      <c r="F3756" s="30"/>
    </row>
    <row r="3757" spans="2:6" x14ac:dyDescent="0.35">
      <c r="B3757" s="28"/>
      <c r="C3757" s="29"/>
      <c r="D3757" s="30"/>
      <c r="E3757" s="30"/>
      <c r="F3757" s="30"/>
    </row>
    <row r="3758" spans="2:6" x14ac:dyDescent="0.35">
      <c r="B3758" s="28"/>
      <c r="C3758" s="29"/>
      <c r="D3758" s="30"/>
      <c r="E3758" s="30"/>
      <c r="F3758" s="30"/>
    </row>
    <row r="3759" spans="2:6" x14ac:dyDescent="0.35">
      <c r="B3759" s="28"/>
      <c r="C3759" s="29"/>
      <c r="D3759" s="30"/>
      <c r="E3759" s="30"/>
      <c r="F3759" s="30"/>
    </row>
    <row r="3760" spans="2:6" x14ac:dyDescent="0.35">
      <c r="B3760" s="28"/>
      <c r="C3760" s="29"/>
      <c r="D3760" s="30"/>
      <c r="E3760" s="30"/>
      <c r="F3760" s="30"/>
    </row>
    <row r="3761" spans="2:6" x14ac:dyDescent="0.35">
      <c r="B3761" s="28"/>
      <c r="C3761" s="29"/>
      <c r="D3761" s="30"/>
      <c r="E3761" s="30"/>
      <c r="F3761" s="30"/>
    </row>
    <row r="3762" spans="2:6" x14ac:dyDescent="0.35">
      <c r="B3762" s="28"/>
      <c r="C3762" s="29"/>
      <c r="D3762" s="30"/>
      <c r="E3762" s="30"/>
      <c r="F3762" s="30"/>
    </row>
    <row r="3763" spans="2:6" x14ac:dyDescent="0.35">
      <c r="B3763" s="28"/>
      <c r="C3763" s="29"/>
      <c r="D3763" s="30"/>
      <c r="E3763" s="30"/>
      <c r="F3763" s="30"/>
    </row>
    <row r="3764" spans="2:6" x14ac:dyDescent="0.35">
      <c r="B3764" s="28"/>
      <c r="C3764" s="29"/>
      <c r="D3764" s="30"/>
      <c r="E3764" s="30"/>
      <c r="F3764" s="30"/>
    </row>
    <row r="3765" spans="2:6" x14ac:dyDescent="0.35">
      <c r="B3765" s="28"/>
      <c r="C3765" s="29"/>
      <c r="D3765" s="30"/>
      <c r="E3765" s="30"/>
      <c r="F3765" s="30"/>
    </row>
    <row r="3766" spans="2:6" x14ac:dyDescent="0.35">
      <c r="B3766" s="28"/>
      <c r="C3766" s="29"/>
      <c r="D3766" s="30"/>
      <c r="E3766" s="30"/>
      <c r="F3766" s="30"/>
    </row>
    <row r="3767" spans="2:6" x14ac:dyDescent="0.35">
      <c r="B3767" s="28"/>
      <c r="C3767" s="29"/>
      <c r="D3767" s="30"/>
      <c r="E3767" s="30"/>
      <c r="F3767" s="30"/>
    </row>
    <row r="3768" spans="2:6" x14ac:dyDescent="0.35">
      <c r="B3768" s="28"/>
      <c r="C3768" s="29"/>
      <c r="D3768" s="30"/>
      <c r="E3768" s="30"/>
      <c r="F3768" s="30"/>
    </row>
    <row r="3769" spans="2:6" x14ac:dyDescent="0.35">
      <c r="B3769" s="28"/>
      <c r="C3769" s="29"/>
      <c r="D3769" s="30"/>
      <c r="E3769" s="30"/>
      <c r="F3769" s="30"/>
    </row>
    <row r="3770" spans="2:6" x14ac:dyDescent="0.35">
      <c r="B3770" s="28"/>
      <c r="C3770" s="29"/>
      <c r="D3770" s="30"/>
      <c r="E3770" s="30"/>
      <c r="F3770" s="30"/>
    </row>
    <row r="3771" spans="2:6" x14ac:dyDescent="0.35">
      <c r="B3771" s="28"/>
      <c r="C3771" s="29"/>
      <c r="D3771" s="30"/>
      <c r="E3771" s="30"/>
      <c r="F3771" s="30"/>
    </row>
    <row r="3772" spans="2:6" x14ac:dyDescent="0.35">
      <c r="B3772" s="28"/>
      <c r="C3772" s="29"/>
      <c r="D3772" s="30"/>
      <c r="E3772" s="30"/>
      <c r="F3772" s="30"/>
    </row>
    <row r="3773" spans="2:6" x14ac:dyDescent="0.35">
      <c r="B3773" s="28"/>
      <c r="C3773" s="29"/>
      <c r="D3773" s="30"/>
      <c r="E3773" s="30"/>
      <c r="F3773" s="30"/>
    </row>
    <row r="3774" spans="2:6" x14ac:dyDescent="0.35">
      <c r="B3774" s="28"/>
      <c r="C3774" s="29"/>
      <c r="D3774" s="30"/>
      <c r="E3774" s="30"/>
      <c r="F3774" s="30"/>
    </row>
    <row r="3775" spans="2:6" x14ac:dyDescent="0.35">
      <c r="B3775" s="28"/>
      <c r="C3775" s="29"/>
      <c r="D3775" s="30"/>
      <c r="E3775" s="30"/>
      <c r="F3775" s="30"/>
    </row>
    <row r="3776" spans="2:6" x14ac:dyDescent="0.35">
      <c r="B3776" s="28"/>
      <c r="C3776" s="29"/>
      <c r="D3776" s="30"/>
      <c r="E3776" s="30"/>
      <c r="F3776" s="30"/>
    </row>
    <row r="3777" spans="2:6" x14ac:dyDescent="0.35">
      <c r="B3777" s="28"/>
      <c r="C3777" s="29"/>
      <c r="D3777" s="30"/>
      <c r="E3777" s="30"/>
      <c r="F3777" s="30"/>
    </row>
    <row r="3778" spans="2:6" x14ac:dyDescent="0.35">
      <c r="B3778" s="28"/>
      <c r="C3778" s="29"/>
      <c r="D3778" s="30"/>
      <c r="E3778" s="30"/>
      <c r="F3778" s="30"/>
    </row>
    <row r="3779" spans="2:6" x14ac:dyDescent="0.35">
      <c r="B3779" s="28"/>
      <c r="C3779" s="29"/>
      <c r="D3779" s="30"/>
      <c r="E3779" s="30"/>
      <c r="F3779" s="30"/>
    </row>
    <row r="3780" spans="2:6" x14ac:dyDescent="0.35">
      <c r="B3780" s="28"/>
      <c r="C3780" s="29"/>
      <c r="D3780" s="30"/>
      <c r="E3780" s="30"/>
      <c r="F3780" s="30"/>
    </row>
    <row r="3781" spans="2:6" x14ac:dyDescent="0.35">
      <c r="B3781" s="28"/>
      <c r="C3781" s="29"/>
      <c r="D3781" s="30"/>
      <c r="E3781" s="30"/>
      <c r="F3781" s="30"/>
    </row>
    <row r="3782" spans="2:6" x14ac:dyDescent="0.35">
      <c r="B3782" s="28"/>
      <c r="C3782" s="29"/>
      <c r="D3782" s="30"/>
      <c r="E3782" s="30"/>
      <c r="F3782" s="30"/>
    </row>
    <row r="3783" spans="2:6" x14ac:dyDescent="0.35">
      <c r="B3783" s="28"/>
      <c r="C3783" s="29"/>
      <c r="D3783" s="30"/>
      <c r="E3783" s="30"/>
      <c r="F3783" s="30"/>
    </row>
    <row r="3784" spans="2:6" x14ac:dyDescent="0.35">
      <c r="B3784" s="28"/>
      <c r="C3784" s="29"/>
      <c r="D3784" s="30"/>
      <c r="E3784" s="30"/>
      <c r="F3784" s="30"/>
    </row>
    <row r="3785" spans="2:6" x14ac:dyDescent="0.35">
      <c r="B3785" s="28"/>
      <c r="C3785" s="29"/>
      <c r="D3785" s="30"/>
      <c r="E3785" s="30"/>
      <c r="F3785" s="30"/>
    </row>
    <row r="3786" spans="2:6" x14ac:dyDescent="0.35">
      <c r="B3786" s="28"/>
      <c r="C3786" s="29"/>
      <c r="D3786" s="30"/>
      <c r="E3786" s="30"/>
      <c r="F3786" s="30"/>
    </row>
    <row r="3787" spans="2:6" x14ac:dyDescent="0.35">
      <c r="B3787" s="28"/>
      <c r="C3787" s="29"/>
      <c r="D3787" s="30"/>
      <c r="E3787" s="30"/>
      <c r="F3787" s="30"/>
    </row>
    <row r="3788" spans="2:6" x14ac:dyDescent="0.35">
      <c r="B3788" s="28"/>
      <c r="C3788" s="29"/>
      <c r="D3788" s="30"/>
      <c r="E3788" s="30"/>
      <c r="F3788" s="30"/>
    </row>
    <row r="3789" spans="2:6" x14ac:dyDescent="0.35">
      <c r="B3789" s="28"/>
      <c r="C3789" s="29"/>
      <c r="D3789" s="30"/>
      <c r="E3789" s="30"/>
      <c r="F3789" s="30"/>
    </row>
    <row r="3790" spans="2:6" x14ac:dyDescent="0.35">
      <c r="B3790" s="28"/>
      <c r="C3790" s="29"/>
      <c r="D3790" s="30"/>
      <c r="E3790" s="30"/>
      <c r="F3790" s="30"/>
    </row>
    <row r="3791" spans="2:6" x14ac:dyDescent="0.35">
      <c r="B3791" s="28"/>
      <c r="C3791" s="29"/>
      <c r="D3791" s="30"/>
      <c r="E3791" s="30"/>
      <c r="F3791" s="30"/>
    </row>
    <row r="3792" spans="2:6" x14ac:dyDescent="0.35">
      <c r="B3792" s="28"/>
      <c r="C3792" s="29"/>
      <c r="D3792" s="30"/>
      <c r="E3792" s="30"/>
      <c r="F3792" s="30"/>
    </row>
    <row r="3793" spans="2:6" x14ac:dyDescent="0.35">
      <c r="B3793" s="28"/>
      <c r="C3793" s="29"/>
      <c r="D3793" s="30"/>
      <c r="E3793" s="30"/>
      <c r="F3793" s="30"/>
    </row>
    <row r="3794" spans="2:6" x14ac:dyDescent="0.35">
      <c r="B3794" s="28"/>
      <c r="C3794" s="29"/>
      <c r="D3794" s="30"/>
      <c r="E3794" s="30"/>
      <c r="F3794" s="30"/>
    </row>
    <row r="3795" spans="2:6" x14ac:dyDescent="0.35">
      <c r="B3795" s="28"/>
      <c r="C3795" s="29"/>
      <c r="D3795" s="30"/>
      <c r="E3795" s="30"/>
      <c r="F3795" s="30"/>
    </row>
    <row r="3796" spans="2:6" x14ac:dyDescent="0.35">
      <c r="B3796" s="28"/>
      <c r="C3796" s="29"/>
      <c r="D3796" s="30"/>
      <c r="E3796" s="30"/>
      <c r="F3796" s="30"/>
    </row>
    <row r="3797" spans="2:6" x14ac:dyDescent="0.35">
      <c r="B3797" s="28"/>
      <c r="C3797" s="29"/>
      <c r="D3797" s="30"/>
      <c r="E3797" s="30"/>
      <c r="F3797" s="30"/>
    </row>
    <row r="3798" spans="2:6" x14ac:dyDescent="0.35">
      <c r="B3798" s="28"/>
      <c r="C3798" s="29"/>
      <c r="D3798" s="30"/>
      <c r="E3798" s="30"/>
      <c r="F3798" s="30"/>
    </row>
    <row r="3799" spans="2:6" x14ac:dyDescent="0.35">
      <c r="B3799" s="28"/>
      <c r="C3799" s="29"/>
      <c r="D3799" s="30"/>
      <c r="E3799" s="30"/>
      <c r="F3799" s="30"/>
    </row>
    <row r="3800" spans="2:6" x14ac:dyDescent="0.35">
      <c r="B3800" s="28"/>
      <c r="C3800" s="29"/>
      <c r="D3800" s="30"/>
      <c r="E3800" s="30"/>
      <c r="F3800" s="30"/>
    </row>
    <row r="3801" spans="2:6" x14ac:dyDescent="0.35">
      <c r="B3801" s="28"/>
      <c r="C3801" s="29"/>
      <c r="D3801" s="30"/>
      <c r="E3801" s="30"/>
      <c r="F3801" s="30"/>
    </row>
    <row r="3802" spans="2:6" x14ac:dyDescent="0.35">
      <c r="B3802" s="28"/>
      <c r="C3802" s="29"/>
      <c r="D3802" s="30"/>
      <c r="E3802" s="30"/>
      <c r="F3802" s="30"/>
    </row>
    <row r="3803" spans="2:6" x14ac:dyDescent="0.35">
      <c r="B3803" s="28"/>
      <c r="C3803" s="29"/>
      <c r="D3803" s="30"/>
      <c r="E3803" s="30"/>
      <c r="F3803" s="30"/>
    </row>
    <row r="3804" spans="2:6" x14ac:dyDescent="0.35">
      <c r="B3804" s="28"/>
      <c r="C3804" s="29"/>
      <c r="D3804" s="30"/>
      <c r="E3804" s="30"/>
      <c r="F3804" s="30"/>
    </row>
    <row r="3805" spans="2:6" x14ac:dyDescent="0.35">
      <c r="B3805" s="28"/>
      <c r="C3805" s="29"/>
      <c r="D3805" s="30"/>
      <c r="E3805" s="30"/>
      <c r="F3805" s="30"/>
    </row>
    <row r="3806" spans="2:6" x14ac:dyDescent="0.35">
      <c r="B3806" s="28"/>
      <c r="C3806" s="29"/>
      <c r="D3806" s="30"/>
      <c r="E3806" s="30"/>
      <c r="F3806" s="30"/>
    </row>
    <row r="3807" spans="2:6" x14ac:dyDescent="0.35">
      <c r="B3807" s="28"/>
      <c r="C3807" s="29"/>
      <c r="D3807" s="30"/>
      <c r="E3807" s="30"/>
      <c r="F3807" s="30"/>
    </row>
    <row r="3808" spans="2:6" x14ac:dyDescent="0.35">
      <c r="B3808" s="28"/>
      <c r="C3808" s="29"/>
      <c r="D3808" s="30"/>
      <c r="E3808" s="30"/>
      <c r="F3808" s="30"/>
    </row>
    <row r="3809" spans="2:6" x14ac:dyDescent="0.35">
      <c r="B3809" s="28"/>
      <c r="C3809" s="29"/>
      <c r="D3809" s="30"/>
      <c r="E3809" s="30"/>
      <c r="F3809" s="30"/>
    </row>
    <row r="3810" spans="2:6" x14ac:dyDescent="0.35">
      <c r="B3810" s="28"/>
      <c r="C3810" s="29"/>
      <c r="D3810" s="30"/>
      <c r="E3810" s="30"/>
      <c r="F3810" s="30"/>
    </row>
    <row r="3811" spans="2:6" x14ac:dyDescent="0.35">
      <c r="B3811" s="28"/>
      <c r="C3811" s="29"/>
      <c r="D3811" s="30"/>
      <c r="E3811" s="30"/>
      <c r="F3811" s="30"/>
    </row>
    <row r="3812" spans="2:6" x14ac:dyDescent="0.35">
      <c r="B3812" s="28"/>
      <c r="C3812" s="29"/>
      <c r="D3812" s="30"/>
      <c r="E3812" s="30"/>
      <c r="F3812" s="30"/>
    </row>
    <row r="3813" spans="2:6" x14ac:dyDescent="0.35">
      <c r="B3813" s="28"/>
      <c r="C3813" s="29"/>
      <c r="D3813" s="30"/>
      <c r="E3813" s="30"/>
      <c r="F3813" s="30"/>
    </row>
    <row r="3814" spans="2:6" x14ac:dyDescent="0.35">
      <c r="B3814" s="28"/>
      <c r="C3814" s="29"/>
      <c r="D3814" s="30"/>
      <c r="E3814" s="30"/>
      <c r="F3814" s="30"/>
    </row>
    <row r="3815" spans="2:6" x14ac:dyDescent="0.35">
      <c r="B3815" s="28"/>
      <c r="C3815" s="29"/>
      <c r="D3815" s="30"/>
      <c r="E3815" s="30"/>
      <c r="F3815" s="30"/>
    </row>
    <row r="3816" spans="2:6" x14ac:dyDescent="0.35">
      <c r="B3816" s="28"/>
      <c r="C3816" s="29"/>
      <c r="D3816" s="30"/>
      <c r="E3816" s="30"/>
      <c r="F3816" s="30"/>
    </row>
    <row r="3817" spans="2:6" x14ac:dyDescent="0.35">
      <c r="B3817" s="28"/>
      <c r="C3817" s="29"/>
      <c r="D3817" s="30"/>
      <c r="E3817" s="30"/>
      <c r="F3817" s="30"/>
    </row>
    <row r="3818" spans="2:6" x14ac:dyDescent="0.35">
      <c r="B3818" s="28"/>
      <c r="C3818" s="29"/>
      <c r="D3818" s="30"/>
      <c r="E3818" s="30"/>
      <c r="F3818" s="30"/>
    </row>
    <row r="3819" spans="2:6" x14ac:dyDescent="0.35">
      <c r="B3819" s="28"/>
      <c r="C3819" s="29"/>
      <c r="D3819" s="30"/>
      <c r="E3819" s="30"/>
      <c r="F3819" s="30"/>
    </row>
    <row r="3820" spans="2:6" x14ac:dyDescent="0.35">
      <c r="B3820" s="28"/>
      <c r="C3820" s="29"/>
      <c r="D3820" s="30"/>
      <c r="E3820" s="30"/>
      <c r="F3820" s="30"/>
    </row>
    <row r="3821" spans="2:6" x14ac:dyDescent="0.35">
      <c r="B3821" s="28"/>
      <c r="C3821" s="29"/>
      <c r="D3821" s="30"/>
      <c r="E3821" s="30"/>
      <c r="F3821" s="30"/>
    </row>
    <row r="3822" spans="2:6" x14ac:dyDescent="0.35">
      <c r="B3822" s="28"/>
      <c r="C3822" s="29"/>
      <c r="D3822" s="30"/>
      <c r="E3822" s="30"/>
      <c r="F3822" s="30"/>
    </row>
    <row r="3823" spans="2:6" x14ac:dyDescent="0.35">
      <c r="B3823" s="28"/>
      <c r="C3823" s="29"/>
      <c r="D3823" s="30"/>
      <c r="E3823" s="30"/>
      <c r="F3823" s="30"/>
    </row>
    <row r="3824" spans="2:6" x14ac:dyDescent="0.35">
      <c r="B3824" s="28"/>
      <c r="C3824" s="29"/>
      <c r="D3824" s="30"/>
      <c r="E3824" s="30"/>
      <c r="F3824" s="30"/>
    </row>
    <row r="3825" spans="2:6" x14ac:dyDescent="0.35">
      <c r="B3825" s="28"/>
      <c r="C3825" s="29"/>
      <c r="D3825" s="30"/>
      <c r="E3825" s="30"/>
      <c r="F3825" s="30"/>
    </row>
    <row r="3826" spans="2:6" x14ac:dyDescent="0.35">
      <c r="B3826" s="28"/>
      <c r="C3826" s="29"/>
      <c r="D3826" s="30"/>
      <c r="E3826" s="30"/>
      <c r="F3826" s="30"/>
    </row>
    <row r="3827" spans="2:6" x14ac:dyDescent="0.35">
      <c r="B3827" s="28"/>
      <c r="C3827" s="29"/>
      <c r="D3827" s="30"/>
      <c r="E3827" s="30"/>
      <c r="F3827" s="30"/>
    </row>
    <row r="3828" spans="2:6" x14ac:dyDescent="0.35">
      <c r="B3828" s="28"/>
      <c r="C3828" s="29"/>
      <c r="D3828" s="30"/>
      <c r="E3828" s="30"/>
      <c r="F3828" s="30"/>
    </row>
    <row r="3829" spans="2:6" x14ac:dyDescent="0.35">
      <c r="B3829" s="28"/>
      <c r="C3829" s="29"/>
      <c r="D3829" s="30"/>
      <c r="E3829" s="30"/>
      <c r="F3829" s="30"/>
    </row>
    <row r="3830" spans="2:6" x14ac:dyDescent="0.35">
      <c r="B3830" s="28"/>
      <c r="C3830" s="29"/>
      <c r="D3830" s="30"/>
      <c r="E3830" s="30"/>
      <c r="F3830" s="30"/>
    </row>
    <row r="3831" spans="2:6" x14ac:dyDescent="0.35">
      <c r="B3831" s="28"/>
      <c r="C3831" s="29"/>
      <c r="D3831" s="30"/>
      <c r="E3831" s="30"/>
      <c r="F3831" s="30"/>
    </row>
    <row r="3832" spans="2:6" x14ac:dyDescent="0.35">
      <c r="B3832" s="28"/>
      <c r="C3832" s="29"/>
      <c r="D3832" s="30"/>
      <c r="E3832" s="30"/>
      <c r="F3832" s="30"/>
    </row>
    <row r="3833" spans="2:6" x14ac:dyDescent="0.35">
      <c r="B3833" s="28"/>
      <c r="C3833" s="29"/>
      <c r="D3833" s="30"/>
      <c r="E3833" s="30"/>
      <c r="F3833" s="30"/>
    </row>
    <row r="3834" spans="2:6" x14ac:dyDescent="0.35">
      <c r="B3834" s="28"/>
      <c r="C3834" s="29"/>
      <c r="D3834" s="30"/>
      <c r="E3834" s="30"/>
      <c r="F3834" s="30"/>
    </row>
    <row r="3835" spans="2:6" x14ac:dyDescent="0.35">
      <c r="B3835" s="28"/>
      <c r="C3835" s="29"/>
      <c r="D3835" s="30"/>
      <c r="E3835" s="30"/>
      <c r="F3835" s="30"/>
    </row>
    <row r="3836" spans="2:6" x14ac:dyDescent="0.35">
      <c r="B3836" s="28"/>
      <c r="C3836" s="29"/>
      <c r="D3836" s="30"/>
      <c r="E3836" s="30"/>
      <c r="F3836" s="30"/>
    </row>
    <row r="3837" spans="2:6" x14ac:dyDescent="0.35">
      <c r="B3837" s="28"/>
      <c r="C3837" s="29"/>
      <c r="D3837" s="30"/>
      <c r="E3837" s="30"/>
      <c r="F3837" s="30"/>
    </row>
    <row r="3838" spans="2:6" x14ac:dyDescent="0.35">
      <c r="B3838" s="28"/>
      <c r="C3838" s="29"/>
      <c r="D3838" s="30"/>
      <c r="E3838" s="30"/>
      <c r="F3838" s="30"/>
    </row>
    <row r="3839" spans="2:6" x14ac:dyDescent="0.35">
      <c r="B3839" s="28"/>
      <c r="C3839" s="29"/>
      <c r="D3839" s="30"/>
      <c r="E3839" s="30"/>
      <c r="F3839" s="30"/>
    </row>
    <row r="3840" spans="2:6" x14ac:dyDescent="0.35">
      <c r="B3840" s="28"/>
      <c r="C3840" s="29"/>
      <c r="D3840" s="30"/>
      <c r="E3840" s="30"/>
      <c r="F3840" s="30"/>
    </row>
    <row r="3841" spans="2:6" x14ac:dyDescent="0.35">
      <c r="B3841" s="28"/>
      <c r="C3841" s="29"/>
      <c r="D3841" s="30"/>
      <c r="E3841" s="30"/>
      <c r="F3841" s="30"/>
    </row>
    <row r="3842" spans="2:6" x14ac:dyDescent="0.35">
      <c r="B3842" s="28"/>
      <c r="C3842" s="29"/>
      <c r="D3842" s="30"/>
      <c r="E3842" s="30"/>
      <c r="F3842" s="30"/>
    </row>
    <row r="3843" spans="2:6" x14ac:dyDescent="0.35">
      <c r="B3843" s="28"/>
      <c r="C3843" s="29"/>
      <c r="D3843" s="30"/>
      <c r="E3843" s="30"/>
      <c r="F3843" s="30"/>
    </row>
    <row r="3844" spans="2:6" x14ac:dyDescent="0.35">
      <c r="B3844" s="28"/>
      <c r="C3844" s="29"/>
      <c r="D3844" s="30"/>
      <c r="E3844" s="30"/>
      <c r="F3844" s="30"/>
    </row>
    <row r="3845" spans="2:6" x14ac:dyDescent="0.35">
      <c r="B3845" s="28"/>
      <c r="C3845" s="29"/>
      <c r="D3845" s="30"/>
      <c r="E3845" s="30"/>
      <c r="F3845" s="30"/>
    </row>
    <row r="3846" spans="2:6" x14ac:dyDescent="0.35">
      <c r="B3846" s="28"/>
      <c r="C3846" s="29"/>
      <c r="D3846" s="30"/>
      <c r="E3846" s="30"/>
      <c r="F3846" s="30"/>
    </row>
    <row r="3847" spans="2:6" x14ac:dyDescent="0.35">
      <c r="B3847" s="28"/>
      <c r="C3847" s="29"/>
      <c r="D3847" s="30"/>
      <c r="E3847" s="30"/>
      <c r="F3847" s="30"/>
    </row>
    <row r="3848" spans="2:6" x14ac:dyDescent="0.35">
      <c r="B3848" s="28"/>
      <c r="C3848" s="29"/>
      <c r="D3848" s="30"/>
      <c r="E3848" s="30"/>
      <c r="F3848" s="30"/>
    </row>
    <row r="3849" spans="2:6" x14ac:dyDescent="0.35">
      <c r="B3849" s="28"/>
      <c r="C3849" s="29"/>
      <c r="D3849" s="30"/>
      <c r="E3849" s="30"/>
      <c r="F3849" s="30"/>
    </row>
    <row r="3850" spans="2:6" x14ac:dyDescent="0.35">
      <c r="B3850" s="28"/>
      <c r="C3850" s="29"/>
      <c r="D3850" s="30"/>
      <c r="E3850" s="30"/>
      <c r="F3850" s="30"/>
    </row>
    <row r="3851" spans="2:6" x14ac:dyDescent="0.35">
      <c r="B3851" s="28"/>
      <c r="C3851" s="29"/>
      <c r="D3851" s="30"/>
      <c r="E3851" s="30"/>
      <c r="F3851" s="30"/>
    </row>
    <row r="3852" spans="2:6" x14ac:dyDescent="0.35">
      <c r="B3852" s="28"/>
      <c r="C3852" s="29"/>
      <c r="D3852" s="30"/>
      <c r="E3852" s="30"/>
      <c r="F3852" s="30"/>
    </row>
    <row r="3853" spans="2:6" x14ac:dyDescent="0.35">
      <c r="B3853" s="28"/>
      <c r="C3853" s="29"/>
      <c r="D3853" s="30"/>
      <c r="E3853" s="30"/>
      <c r="F3853" s="30"/>
    </row>
    <row r="3854" spans="2:6" x14ac:dyDescent="0.35">
      <c r="B3854" s="28"/>
      <c r="C3854" s="29"/>
      <c r="D3854" s="30"/>
      <c r="E3854" s="30"/>
      <c r="F3854" s="30"/>
    </row>
    <row r="3855" spans="2:6" x14ac:dyDescent="0.35">
      <c r="B3855" s="28"/>
      <c r="C3855" s="29"/>
      <c r="D3855" s="30"/>
      <c r="E3855" s="30"/>
      <c r="F3855" s="30"/>
    </row>
    <row r="3856" spans="2:6" x14ac:dyDescent="0.35">
      <c r="B3856" s="28"/>
      <c r="C3856" s="29"/>
      <c r="D3856" s="30"/>
      <c r="E3856" s="30"/>
      <c r="F3856" s="30"/>
    </row>
    <row r="3857" spans="2:6" x14ac:dyDescent="0.35">
      <c r="B3857" s="28"/>
      <c r="C3857" s="29"/>
      <c r="D3857" s="30"/>
      <c r="E3857" s="30"/>
      <c r="F3857" s="30"/>
    </row>
    <row r="3858" spans="2:6" x14ac:dyDescent="0.35">
      <c r="B3858" s="28"/>
      <c r="C3858" s="29"/>
      <c r="D3858" s="30"/>
      <c r="E3858" s="30"/>
      <c r="F3858" s="30"/>
    </row>
    <row r="3859" spans="2:6" x14ac:dyDescent="0.35">
      <c r="B3859" s="28"/>
      <c r="C3859" s="29"/>
      <c r="D3859" s="30"/>
      <c r="E3859" s="30"/>
      <c r="F3859" s="30"/>
    </row>
    <row r="3860" spans="2:6" x14ac:dyDescent="0.35">
      <c r="B3860" s="28"/>
      <c r="C3860" s="29"/>
      <c r="D3860" s="30"/>
      <c r="E3860" s="30"/>
      <c r="F3860" s="30"/>
    </row>
    <row r="3861" spans="2:6" x14ac:dyDescent="0.35">
      <c r="B3861" s="28"/>
      <c r="C3861" s="29"/>
      <c r="D3861" s="30"/>
      <c r="E3861" s="30"/>
      <c r="F3861" s="30"/>
    </row>
    <row r="3862" spans="2:6" x14ac:dyDescent="0.35">
      <c r="B3862" s="28"/>
      <c r="C3862" s="29"/>
      <c r="D3862" s="30"/>
      <c r="E3862" s="30"/>
      <c r="F3862" s="30"/>
    </row>
    <row r="3863" spans="2:6" x14ac:dyDescent="0.35">
      <c r="B3863" s="28"/>
      <c r="C3863" s="29"/>
      <c r="D3863" s="30"/>
      <c r="E3863" s="30"/>
      <c r="F3863" s="30"/>
    </row>
    <row r="3864" spans="2:6" x14ac:dyDescent="0.35">
      <c r="B3864" s="28"/>
      <c r="C3864" s="29"/>
      <c r="D3864" s="30"/>
      <c r="E3864" s="30"/>
      <c r="F3864" s="30"/>
    </row>
    <row r="3865" spans="2:6" x14ac:dyDescent="0.35">
      <c r="B3865" s="28"/>
      <c r="C3865" s="29"/>
      <c r="D3865" s="30"/>
      <c r="E3865" s="30"/>
      <c r="F3865" s="30"/>
    </row>
    <row r="3866" spans="2:6" x14ac:dyDescent="0.35">
      <c r="B3866" s="28"/>
      <c r="C3866" s="29"/>
      <c r="D3866" s="30"/>
      <c r="E3866" s="30"/>
      <c r="F3866" s="30"/>
    </row>
    <row r="3867" spans="2:6" x14ac:dyDescent="0.35">
      <c r="B3867" s="28"/>
      <c r="C3867" s="29"/>
      <c r="D3867" s="30"/>
      <c r="E3867" s="30"/>
      <c r="F3867" s="30"/>
    </row>
    <row r="3868" spans="2:6" x14ac:dyDescent="0.35">
      <c r="B3868" s="28"/>
      <c r="C3868" s="29"/>
      <c r="D3868" s="30"/>
      <c r="E3868" s="30"/>
      <c r="F3868" s="30"/>
    </row>
    <row r="3869" spans="2:6" x14ac:dyDescent="0.35">
      <c r="B3869" s="28"/>
      <c r="C3869" s="29"/>
      <c r="D3869" s="30"/>
      <c r="E3869" s="30"/>
      <c r="F3869" s="30"/>
    </row>
    <row r="3870" spans="2:6" x14ac:dyDescent="0.35">
      <c r="B3870" s="28"/>
      <c r="C3870" s="29"/>
      <c r="D3870" s="30"/>
      <c r="E3870" s="30"/>
      <c r="F3870" s="30"/>
    </row>
    <row r="3871" spans="2:6" x14ac:dyDescent="0.35">
      <c r="B3871" s="28"/>
      <c r="C3871" s="29"/>
      <c r="D3871" s="30"/>
      <c r="E3871" s="30"/>
      <c r="F3871" s="30"/>
    </row>
    <row r="3872" spans="2:6" x14ac:dyDescent="0.35">
      <c r="B3872" s="28"/>
      <c r="C3872" s="29"/>
      <c r="D3872" s="30"/>
      <c r="E3872" s="30"/>
      <c r="F3872" s="30"/>
    </row>
    <row r="3873" spans="2:6" x14ac:dyDescent="0.35">
      <c r="B3873" s="28"/>
      <c r="C3873" s="29"/>
      <c r="D3873" s="30"/>
      <c r="E3873" s="30"/>
      <c r="F3873" s="30"/>
    </row>
    <row r="3874" spans="2:6" x14ac:dyDescent="0.35">
      <c r="B3874" s="28"/>
      <c r="C3874" s="29"/>
      <c r="D3874" s="30"/>
      <c r="E3874" s="30"/>
      <c r="F3874" s="30"/>
    </row>
    <row r="3875" spans="2:6" x14ac:dyDescent="0.35">
      <c r="B3875" s="28"/>
      <c r="C3875" s="29"/>
      <c r="D3875" s="30"/>
      <c r="E3875" s="30"/>
      <c r="F3875" s="30"/>
    </row>
    <row r="3876" spans="2:6" x14ac:dyDescent="0.35">
      <c r="B3876" s="28"/>
      <c r="C3876" s="29"/>
      <c r="D3876" s="30"/>
      <c r="E3876" s="30"/>
      <c r="F3876" s="30"/>
    </row>
    <row r="3877" spans="2:6" x14ac:dyDescent="0.35">
      <c r="B3877" s="28"/>
      <c r="C3877" s="29"/>
      <c r="D3877" s="30"/>
      <c r="E3877" s="30"/>
      <c r="F3877" s="30"/>
    </row>
    <row r="3878" spans="2:6" x14ac:dyDescent="0.35">
      <c r="B3878" s="28"/>
      <c r="C3878" s="29"/>
      <c r="D3878" s="30"/>
      <c r="E3878" s="30"/>
      <c r="F3878" s="30"/>
    </row>
    <row r="3879" spans="2:6" x14ac:dyDescent="0.35">
      <c r="B3879" s="28"/>
      <c r="C3879" s="29"/>
      <c r="D3879" s="30"/>
      <c r="E3879" s="30"/>
      <c r="F3879" s="30"/>
    </row>
    <row r="3880" spans="2:6" x14ac:dyDescent="0.35">
      <c r="B3880" s="28"/>
      <c r="C3880" s="29"/>
      <c r="D3880" s="30"/>
      <c r="E3880" s="30"/>
      <c r="F3880" s="30"/>
    </row>
    <row r="3881" spans="2:6" x14ac:dyDescent="0.35">
      <c r="B3881" s="28"/>
      <c r="C3881" s="29"/>
      <c r="D3881" s="30"/>
      <c r="E3881" s="30"/>
      <c r="F3881" s="30"/>
    </row>
    <row r="3882" spans="2:6" x14ac:dyDescent="0.35">
      <c r="B3882" s="28"/>
      <c r="C3882" s="29"/>
      <c r="D3882" s="30"/>
      <c r="E3882" s="30"/>
      <c r="F3882" s="30"/>
    </row>
    <row r="3883" spans="2:6" x14ac:dyDescent="0.35">
      <c r="B3883" s="28"/>
      <c r="C3883" s="29"/>
      <c r="D3883" s="30"/>
      <c r="E3883" s="30"/>
      <c r="F3883" s="30"/>
    </row>
    <row r="3884" spans="2:6" x14ac:dyDescent="0.35">
      <c r="B3884" s="28"/>
      <c r="C3884" s="29"/>
      <c r="D3884" s="30"/>
      <c r="E3884" s="30"/>
      <c r="F3884" s="30"/>
    </row>
    <row r="3885" spans="2:6" x14ac:dyDescent="0.35">
      <c r="B3885" s="28"/>
      <c r="C3885" s="29"/>
      <c r="D3885" s="30"/>
      <c r="E3885" s="30"/>
      <c r="F3885" s="30"/>
    </row>
    <row r="3886" spans="2:6" x14ac:dyDescent="0.35">
      <c r="B3886" s="28"/>
      <c r="C3886" s="29"/>
      <c r="D3886" s="30"/>
      <c r="E3886" s="30"/>
      <c r="F3886" s="30"/>
    </row>
    <row r="3887" spans="2:6" x14ac:dyDescent="0.35">
      <c r="B3887" s="28"/>
      <c r="C3887" s="29"/>
      <c r="D3887" s="30"/>
      <c r="E3887" s="30"/>
      <c r="F3887" s="30"/>
    </row>
    <row r="3888" spans="2:6" x14ac:dyDescent="0.35">
      <c r="B3888" s="28"/>
      <c r="C3888" s="29"/>
      <c r="D3888" s="30"/>
      <c r="E3888" s="30"/>
      <c r="F3888" s="30"/>
    </row>
    <row r="3889" spans="2:6" x14ac:dyDescent="0.35">
      <c r="B3889" s="28"/>
      <c r="C3889" s="29"/>
      <c r="D3889" s="30"/>
      <c r="E3889" s="30"/>
      <c r="F3889" s="30"/>
    </row>
    <row r="3890" spans="2:6" x14ac:dyDescent="0.35">
      <c r="B3890" s="28"/>
      <c r="C3890" s="29"/>
      <c r="D3890" s="30"/>
      <c r="E3890" s="30"/>
      <c r="F3890" s="30"/>
    </row>
    <row r="3891" spans="2:6" x14ac:dyDescent="0.35">
      <c r="B3891" s="28"/>
      <c r="C3891" s="29"/>
      <c r="D3891" s="30"/>
      <c r="E3891" s="30"/>
      <c r="F3891" s="30"/>
    </row>
    <row r="3892" spans="2:6" x14ac:dyDescent="0.35">
      <c r="B3892" s="28"/>
      <c r="C3892" s="29"/>
      <c r="D3892" s="30"/>
      <c r="E3892" s="30"/>
      <c r="F3892" s="30"/>
    </row>
    <row r="3893" spans="2:6" x14ac:dyDescent="0.35">
      <c r="B3893" s="28"/>
      <c r="C3893" s="29"/>
      <c r="D3893" s="30"/>
      <c r="E3893" s="30"/>
      <c r="F3893" s="30"/>
    </row>
    <row r="3894" spans="2:6" x14ac:dyDescent="0.35">
      <c r="B3894" s="28"/>
      <c r="C3894" s="29"/>
      <c r="D3894" s="30"/>
      <c r="E3894" s="30"/>
      <c r="F3894" s="30"/>
    </row>
    <row r="3895" spans="2:6" x14ac:dyDescent="0.35">
      <c r="B3895" s="28"/>
      <c r="C3895" s="29"/>
      <c r="D3895" s="30"/>
      <c r="E3895" s="30"/>
      <c r="F3895" s="30"/>
    </row>
    <row r="3896" spans="2:6" x14ac:dyDescent="0.35">
      <c r="B3896" s="28"/>
      <c r="C3896" s="29"/>
      <c r="D3896" s="30"/>
      <c r="E3896" s="30"/>
      <c r="F3896" s="30"/>
    </row>
    <row r="3897" spans="2:6" x14ac:dyDescent="0.35">
      <c r="B3897" s="28"/>
      <c r="C3897" s="29"/>
      <c r="D3897" s="30"/>
      <c r="E3897" s="30"/>
      <c r="F3897" s="30"/>
    </row>
    <row r="3898" spans="2:6" x14ac:dyDescent="0.35">
      <c r="B3898" s="28"/>
      <c r="C3898" s="29"/>
      <c r="D3898" s="30"/>
      <c r="E3898" s="30"/>
      <c r="F3898" s="30"/>
    </row>
    <row r="3899" spans="2:6" x14ac:dyDescent="0.35">
      <c r="B3899" s="28"/>
      <c r="C3899" s="29"/>
      <c r="D3899" s="30"/>
      <c r="E3899" s="30"/>
      <c r="F3899" s="30"/>
    </row>
    <row r="3900" spans="2:6" x14ac:dyDescent="0.35">
      <c r="B3900" s="28"/>
      <c r="C3900" s="29"/>
      <c r="D3900" s="30"/>
      <c r="E3900" s="30"/>
      <c r="F3900" s="30"/>
    </row>
    <row r="3901" spans="2:6" x14ac:dyDescent="0.35">
      <c r="B3901" s="28"/>
      <c r="C3901" s="29"/>
      <c r="D3901" s="30"/>
      <c r="E3901" s="30"/>
      <c r="F3901" s="30"/>
    </row>
    <row r="3902" spans="2:6" x14ac:dyDescent="0.35">
      <c r="B3902" s="28"/>
      <c r="C3902" s="29"/>
      <c r="D3902" s="30"/>
      <c r="E3902" s="30"/>
      <c r="F3902" s="30"/>
    </row>
    <row r="3903" spans="2:6" x14ac:dyDescent="0.35">
      <c r="B3903" s="28"/>
      <c r="C3903" s="29"/>
      <c r="D3903" s="30"/>
      <c r="E3903" s="30"/>
      <c r="F3903" s="30"/>
    </row>
    <row r="3904" spans="2:6" x14ac:dyDescent="0.35">
      <c r="B3904" s="28"/>
      <c r="C3904" s="29"/>
      <c r="D3904" s="30"/>
      <c r="E3904" s="30"/>
      <c r="F3904" s="30"/>
    </row>
    <row r="3905" spans="2:6" x14ac:dyDescent="0.35">
      <c r="B3905" s="28"/>
      <c r="C3905" s="29"/>
      <c r="D3905" s="30"/>
      <c r="E3905" s="30"/>
      <c r="F3905" s="30"/>
    </row>
    <row r="3906" spans="2:6" x14ac:dyDescent="0.35">
      <c r="B3906" s="28"/>
      <c r="C3906" s="29"/>
      <c r="D3906" s="30"/>
      <c r="E3906" s="30"/>
      <c r="F3906" s="30"/>
    </row>
    <row r="3907" spans="2:6" x14ac:dyDescent="0.35">
      <c r="B3907" s="28"/>
      <c r="C3907" s="29"/>
      <c r="D3907" s="30"/>
      <c r="E3907" s="30"/>
      <c r="F3907" s="30"/>
    </row>
    <row r="3908" spans="2:6" x14ac:dyDescent="0.35">
      <c r="B3908" s="28"/>
      <c r="C3908" s="29"/>
      <c r="D3908" s="30"/>
      <c r="E3908" s="30"/>
      <c r="F3908" s="30"/>
    </row>
    <row r="3909" spans="2:6" x14ac:dyDescent="0.35">
      <c r="B3909" s="28"/>
      <c r="C3909" s="29"/>
      <c r="D3909" s="30"/>
      <c r="E3909" s="30"/>
      <c r="F3909" s="30"/>
    </row>
    <row r="3910" spans="2:6" x14ac:dyDescent="0.35">
      <c r="B3910" s="28"/>
      <c r="C3910" s="29"/>
      <c r="D3910" s="30"/>
      <c r="E3910" s="30"/>
      <c r="F3910" s="30"/>
    </row>
    <row r="3911" spans="2:6" x14ac:dyDescent="0.35">
      <c r="B3911" s="28"/>
      <c r="C3911" s="29"/>
      <c r="D3911" s="30"/>
      <c r="E3911" s="30"/>
      <c r="F3911" s="30"/>
    </row>
    <row r="3912" spans="2:6" x14ac:dyDescent="0.35">
      <c r="B3912" s="28"/>
      <c r="C3912" s="29"/>
      <c r="D3912" s="30"/>
      <c r="E3912" s="30"/>
      <c r="F3912" s="30"/>
    </row>
    <row r="3913" spans="2:6" x14ac:dyDescent="0.35">
      <c r="B3913" s="28"/>
      <c r="C3913" s="29"/>
      <c r="D3913" s="30"/>
      <c r="E3913" s="30"/>
      <c r="F3913" s="30"/>
    </row>
    <row r="3914" spans="2:6" x14ac:dyDescent="0.35">
      <c r="B3914" s="28"/>
      <c r="C3914" s="29"/>
      <c r="D3914" s="30"/>
      <c r="E3914" s="30"/>
      <c r="F3914" s="30"/>
    </row>
    <row r="3915" spans="2:6" x14ac:dyDescent="0.35">
      <c r="B3915" s="28"/>
      <c r="C3915" s="29"/>
      <c r="D3915" s="30"/>
      <c r="E3915" s="30"/>
      <c r="F3915" s="30"/>
    </row>
    <row r="3916" spans="2:6" x14ac:dyDescent="0.35">
      <c r="B3916" s="28"/>
      <c r="C3916" s="29"/>
      <c r="D3916" s="30"/>
      <c r="E3916" s="30"/>
      <c r="F3916" s="30"/>
    </row>
    <row r="3917" spans="2:6" x14ac:dyDescent="0.35">
      <c r="B3917" s="28"/>
      <c r="C3917" s="29"/>
      <c r="D3917" s="30"/>
      <c r="E3917" s="30"/>
      <c r="F3917" s="30"/>
    </row>
    <row r="3918" spans="2:6" x14ac:dyDescent="0.35">
      <c r="B3918" s="28"/>
      <c r="C3918" s="29"/>
      <c r="D3918" s="30"/>
      <c r="E3918" s="30"/>
      <c r="F3918" s="30"/>
    </row>
    <row r="3919" spans="2:6" x14ac:dyDescent="0.35">
      <c r="B3919" s="28"/>
      <c r="C3919" s="29"/>
      <c r="D3919" s="30"/>
      <c r="E3919" s="30"/>
      <c r="F3919" s="30"/>
    </row>
    <row r="3920" spans="2:6" x14ac:dyDescent="0.35">
      <c r="B3920" s="28"/>
      <c r="C3920" s="29"/>
      <c r="D3920" s="30"/>
      <c r="E3920" s="30"/>
      <c r="F3920" s="30"/>
    </row>
    <row r="3921" spans="2:6" x14ac:dyDescent="0.35">
      <c r="B3921" s="28"/>
      <c r="C3921" s="29"/>
      <c r="D3921" s="30"/>
      <c r="E3921" s="30"/>
      <c r="F3921" s="30"/>
    </row>
    <row r="3922" spans="2:6" x14ac:dyDescent="0.35">
      <c r="B3922" s="28"/>
      <c r="C3922" s="29"/>
      <c r="D3922" s="30"/>
      <c r="E3922" s="30"/>
      <c r="F3922" s="30"/>
    </row>
    <row r="3923" spans="2:6" x14ac:dyDescent="0.35">
      <c r="B3923" s="28"/>
      <c r="C3923" s="29"/>
      <c r="D3923" s="30"/>
      <c r="E3923" s="30"/>
      <c r="F3923" s="30"/>
    </row>
    <row r="3924" spans="2:6" x14ac:dyDescent="0.35">
      <c r="B3924" s="28"/>
      <c r="C3924" s="29"/>
      <c r="D3924" s="30"/>
      <c r="E3924" s="30"/>
      <c r="F3924" s="30"/>
    </row>
    <row r="3925" spans="2:6" x14ac:dyDescent="0.35">
      <c r="B3925" s="28"/>
      <c r="C3925" s="29"/>
      <c r="D3925" s="30"/>
      <c r="E3925" s="30"/>
      <c r="F3925" s="30"/>
    </row>
    <row r="3926" spans="2:6" x14ac:dyDescent="0.35">
      <c r="B3926" s="28"/>
      <c r="C3926" s="29"/>
      <c r="D3926" s="30"/>
      <c r="E3926" s="30"/>
      <c r="F3926" s="30"/>
    </row>
    <row r="3927" spans="2:6" x14ac:dyDescent="0.35">
      <c r="B3927" s="28"/>
      <c r="C3927" s="29"/>
      <c r="D3927" s="30"/>
      <c r="E3927" s="30"/>
      <c r="F3927" s="30"/>
    </row>
    <row r="3928" spans="2:6" x14ac:dyDescent="0.35">
      <c r="B3928" s="28"/>
      <c r="C3928" s="29"/>
      <c r="D3928" s="30"/>
      <c r="E3928" s="30"/>
      <c r="F3928" s="30"/>
    </row>
    <row r="3929" spans="2:6" x14ac:dyDescent="0.35">
      <c r="B3929" s="28"/>
      <c r="C3929" s="29"/>
      <c r="D3929" s="30"/>
      <c r="E3929" s="30"/>
      <c r="F3929" s="30"/>
    </row>
    <row r="3930" spans="2:6" x14ac:dyDescent="0.35">
      <c r="B3930" s="28"/>
      <c r="C3930" s="29"/>
      <c r="D3930" s="30"/>
      <c r="E3930" s="30"/>
      <c r="F3930" s="30"/>
    </row>
    <row r="3931" spans="2:6" x14ac:dyDescent="0.35">
      <c r="B3931" s="28"/>
      <c r="C3931" s="29"/>
      <c r="D3931" s="30"/>
      <c r="E3931" s="30"/>
      <c r="F3931" s="30"/>
    </row>
    <row r="3932" spans="2:6" x14ac:dyDescent="0.35">
      <c r="B3932" s="28"/>
      <c r="C3932" s="29"/>
      <c r="D3932" s="30"/>
      <c r="E3932" s="30"/>
      <c r="F3932" s="30"/>
    </row>
    <row r="3933" spans="2:6" x14ac:dyDescent="0.35">
      <c r="B3933" s="28"/>
      <c r="C3933" s="29"/>
      <c r="D3933" s="30"/>
      <c r="E3933" s="30"/>
      <c r="F3933" s="30"/>
    </row>
    <row r="3934" spans="2:6" x14ac:dyDescent="0.35">
      <c r="B3934" s="28"/>
      <c r="C3934" s="29"/>
      <c r="D3934" s="30"/>
      <c r="E3934" s="30"/>
      <c r="F3934" s="30"/>
    </row>
    <row r="3935" spans="2:6" x14ac:dyDescent="0.35">
      <c r="B3935" s="28"/>
      <c r="C3935" s="29"/>
      <c r="D3935" s="30"/>
      <c r="E3935" s="30"/>
      <c r="F3935" s="30"/>
    </row>
    <row r="3936" spans="2:6" x14ac:dyDescent="0.35">
      <c r="B3936" s="28"/>
      <c r="C3936" s="29"/>
      <c r="D3936" s="30"/>
      <c r="E3936" s="30"/>
      <c r="F3936" s="30"/>
    </row>
    <row r="3937" spans="2:6" x14ac:dyDescent="0.35">
      <c r="B3937" s="28"/>
      <c r="C3937" s="29"/>
      <c r="D3937" s="30"/>
      <c r="E3937" s="30"/>
      <c r="F3937" s="30"/>
    </row>
    <row r="3938" spans="2:6" x14ac:dyDescent="0.35">
      <c r="B3938" s="28"/>
      <c r="C3938" s="29"/>
      <c r="D3938" s="30"/>
      <c r="E3938" s="30"/>
      <c r="F3938" s="30"/>
    </row>
    <row r="3939" spans="2:6" x14ac:dyDescent="0.35">
      <c r="B3939" s="28"/>
      <c r="C3939" s="29"/>
      <c r="D3939" s="30"/>
      <c r="E3939" s="30"/>
      <c r="F3939" s="30"/>
    </row>
    <row r="3940" spans="2:6" x14ac:dyDescent="0.35">
      <c r="B3940" s="28"/>
      <c r="C3940" s="29"/>
      <c r="D3940" s="30"/>
      <c r="E3940" s="30"/>
      <c r="F3940" s="30"/>
    </row>
    <row r="3941" spans="2:6" x14ac:dyDescent="0.35">
      <c r="B3941" s="28"/>
      <c r="C3941" s="29"/>
      <c r="D3941" s="30"/>
      <c r="E3941" s="30"/>
      <c r="F3941" s="30"/>
    </row>
    <row r="3942" spans="2:6" x14ac:dyDescent="0.35">
      <c r="B3942" s="28"/>
      <c r="C3942" s="29"/>
      <c r="D3942" s="30"/>
      <c r="E3942" s="30"/>
      <c r="F3942" s="30"/>
    </row>
    <row r="3943" spans="2:6" x14ac:dyDescent="0.35">
      <c r="B3943" s="28"/>
      <c r="C3943" s="29"/>
      <c r="D3943" s="30"/>
      <c r="E3943" s="30"/>
      <c r="F3943" s="30"/>
    </row>
    <row r="3944" spans="2:6" ht="15.5" thickBot="1" x14ac:dyDescent="0.4">
      <c r="B3944" s="28"/>
      <c r="C3944" s="29"/>
      <c r="D3944" s="30"/>
      <c r="E3944" s="31"/>
      <c r="F3944" s="31"/>
    </row>
    <row r="3945" spans="2:6" x14ac:dyDescent="0.35">
      <c r="B3945" s="28"/>
      <c r="C3945" s="29"/>
    </row>
    <row r="3946" spans="2:6" x14ac:dyDescent="0.35">
      <c r="B3946" s="28"/>
      <c r="C3946" s="29"/>
    </row>
    <row r="3947" spans="2:6" x14ac:dyDescent="0.35">
      <c r="B3947" s="28"/>
      <c r="C3947" s="29"/>
    </row>
    <row r="3948" spans="2:6" x14ac:dyDescent="0.35">
      <c r="B3948" s="28"/>
      <c r="C3948" s="29"/>
    </row>
    <row r="3949" spans="2:6" x14ac:dyDescent="0.35">
      <c r="B3949" s="28"/>
      <c r="C3949" s="29"/>
    </row>
    <row r="3950" spans="2:6" x14ac:dyDescent="0.35">
      <c r="B3950" s="28"/>
      <c r="C3950" s="29"/>
    </row>
    <row r="3951" spans="2:6" x14ac:dyDescent="0.35">
      <c r="B3951" s="28"/>
      <c r="C3951" s="29"/>
    </row>
    <row r="3952" spans="2:6" x14ac:dyDescent="0.35">
      <c r="B3952" s="28"/>
      <c r="C3952" s="29"/>
    </row>
    <row r="3953" spans="2:3" x14ac:dyDescent="0.35">
      <c r="B3953" s="28"/>
      <c r="C3953" s="29"/>
    </row>
    <row r="3954" spans="2:3" x14ac:dyDescent="0.35">
      <c r="B3954" s="28"/>
      <c r="C3954" s="29"/>
    </row>
    <row r="3955" spans="2:3" x14ac:dyDescent="0.35">
      <c r="B3955" s="28"/>
      <c r="C3955" s="29"/>
    </row>
    <row r="3956" spans="2:3" x14ac:dyDescent="0.35">
      <c r="B3956" s="28"/>
      <c r="C3956" s="29"/>
    </row>
    <row r="3957" spans="2:3" x14ac:dyDescent="0.35">
      <c r="B3957" s="28"/>
      <c r="C3957" s="29"/>
    </row>
    <row r="3958" spans="2:3" x14ac:dyDescent="0.35">
      <c r="B3958" s="28"/>
      <c r="C3958" s="29"/>
    </row>
    <row r="3959" spans="2:3" x14ac:dyDescent="0.35">
      <c r="B3959" s="28"/>
      <c r="C3959" s="29"/>
    </row>
    <row r="3960" spans="2:3" x14ac:dyDescent="0.35">
      <c r="B3960" s="28"/>
      <c r="C3960" s="29"/>
    </row>
    <row r="3961" spans="2:3" x14ac:dyDescent="0.35">
      <c r="B3961" s="28"/>
      <c r="C3961" s="29"/>
    </row>
    <row r="3962" spans="2:3" x14ac:dyDescent="0.35">
      <c r="B3962" s="28"/>
      <c r="C3962" s="29"/>
    </row>
    <row r="3963" spans="2:3" x14ac:dyDescent="0.35">
      <c r="B3963" s="28"/>
      <c r="C3963" s="29"/>
    </row>
    <row r="3964" spans="2:3" x14ac:dyDescent="0.35">
      <c r="B3964" s="28"/>
      <c r="C3964" s="29"/>
    </row>
    <row r="3965" spans="2:3" x14ac:dyDescent="0.35">
      <c r="B3965" s="28"/>
      <c r="C3965" s="29"/>
    </row>
    <row r="3966" spans="2:3" x14ac:dyDescent="0.35">
      <c r="B3966" s="28"/>
      <c r="C3966" s="29"/>
    </row>
    <row r="3967" spans="2:3" x14ac:dyDescent="0.35">
      <c r="B3967" s="28"/>
      <c r="C3967" s="29"/>
    </row>
    <row r="3968" spans="2:3" x14ac:dyDescent="0.35">
      <c r="B3968" s="28"/>
      <c r="C3968" s="29"/>
    </row>
    <row r="3969" spans="2:3" x14ac:dyDescent="0.35">
      <c r="B3969" s="28"/>
      <c r="C3969" s="29"/>
    </row>
    <row r="3970" spans="2:3" x14ac:dyDescent="0.35">
      <c r="B3970" s="28"/>
      <c r="C3970" s="29"/>
    </row>
    <row r="3971" spans="2:3" x14ac:dyDescent="0.35">
      <c r="B3971" s="28"/>
      <c r="C3971" s="29"/>
    </row>
    <row r="3972" spans="2:3" x14ac:dyDescent="0.35">
      <c r="B3972" s="28"/>
      <c r="C3972" s="29"/>
    </row>
    <row r="3973" spans="2:3" x14ac:dyDescent="0.35">
      <c r="B3973" s="28"/>
      <c r="C3973" s="29"/>
    </row>
    <row r="3974" spans="2:3" x14ac:dyDescent="0.35">
      <c r="B3974" s="28"/>
      <c r="C3974" s="29"/>
    </row>
    <row r="3975" spans="2:3" x14ac:dyDescent="0.35">
      <c r="B3975" s="28"/>
      <c r="C3975" s="29"/>
    </row>
    <row r="3976" spans="2:3" x14ac:dyDescent="0.35">
      <c r="B3976" s="28"/>
      <c r="C3976" s="29"/>
    </row>
    <row r="3977" spans="2:3" x14ac:dyDescent="0.35">
      <c r="B3977" s="28"/>
      <c r="C3977" s="29"/>
    </row>
    <row r="3978" spans="2:3" x14ac:dyDescent="0.35">
      <c r="B3978" s="28"/>
      <c r="C3978" s="29"/>
    </row>
    <row r="3979" spans="2:3" x14ac:dyDescent="0.35">
      <c r="B3979" s="28"/>
      <c r="C3979" s="29"/>
    </row>
    <row r="3980" spans="2:3" x14ac:dyDescent="0.35">
      <c r="B3980" s="28"/>
      <c r="C3980" s="29"/>
    </row>
    <row r="3981" spans="2:3" x14ac:dyDescent="0.35">
      <c r="B3981" s="28"/>
      <c r="C3981" s="29"/>
    </row>
    <row r="3982" spans="2:3" x14ac:dyDescent="0.35">
      <c r="B3982" s="28"/>
      <c r="C3982" s="29"/>
    </row>
    <row r="3983" spans="2:3" x14ac:dyDescent="0.35">
      <c r="B3983" s="28"/>
      <c r="C3983" s="29"/>
    </row>
    <row r="3984" spans="2:3" x14ac:dyDescent="0.35">
      <c r="B3984" s="28"/>
      <c r="C3984" s="29"/>
    </row>
    <row r="3985" spans="2:3" x14ac:dyDescent="0.35">
      <c r="B3985" s="28"/>
      <c r="C3985" s="29"/>
    </row>
    <row r="3986" spans="2:3" x14ac:dyDescent="0.35">
      <c r="B3986" s="28"/>
      <c r="C3986" s="29"/>
    </row>
    <row r="3987" spans="2:3" x14ac:dyDescent="0.35">
      <c r="B3987" s="28"/>
      <c r="C3987" s="29"/>
    </row>
    <row r="3988" spans="2:3" x14ac:dyDescent="0.35">
      <c r="B3988" s="28"/>
      <c r="C3988" s="29"/>
    </row>
    <row r="3989" spans="2:3" x14ac:dyDescent="0.35">
      <c r="B3989" s="28"/>
      <c r="C3989" s="29"/>
    </row>
    <row r="3990" spans="2:3" x14ac:dyDescent="0.35">
      <c r="B3990" s="28"/>
      <c r="C3990" s="29"/>
    </row>
    <row r="3991" spans="2:3" x14ac:dyDescent="0.35">
      <c r="B3991" s="28"/>
      <c r="C3991" s="29"/>
    </row>
    <row r="3992" spans="2:3" x14ac:dyDescent="0.35">
      <c r="B3992" s="28"/>
      <c r="C3992" s="29"/>
    </row>
    <row r="3993" spans="2:3" x14ac:dyDescent="0.35">
      <c r="B3993" s="28"/>
      <c r="C3993" s="29"/>
    </row>
    <row r="3994" spans="2:3" x14ac:dyDescent="0.35">
      <c r="B3994" s="28"/>
      <c r="C3994" s="29"/>
    </row>
    <row r="3995" spans="2:3" x14ac:dyDescent="0.35">
      <c r="B3995" s="28"/>
      <c r="C3995" s="29"/>
    </row>
    <row r="3996" spans="2:3" x14ac:dyDescent="0.35">
      <c r="B3996" s="28"/>
      <c r="C3996" s="29"/>
    </row>
    <row r="3997" spans="2:3" x14ac:dyDescent="0.35">
      <c r="B3997" s="28"/>
      <c r="C3997" s="29"/>
    </row>
    <row r="3998" spans="2:3" x14ac:dyDescent="0.35">
      <c r="B3998" s="28"/>
      <c r="C3998" s="29"/>
    </row>
    <row r="3999" spans="2:3" x14ac:dyDescent="0.35">
      <c r="B3999" s="28"/>
      <c r="C3999" s="29"/>
    </row>
    <row r="4000" spans="2:3" x14ac:dyDescent="0.35">
      <c r="B4000" s="28"/>
      <c r="C4000" s="29"/>
    </row>
    <row r="4001" spans="2:3" x14ac:dyDescent="0.35">
      <c r="B4001" s="28"/>
      <c r="C4001" s="29"/>
    </row>
    <row r="4002" spans="2:3" x14ac:dyDescent="0.35">
      <c r="B4002" s="28"/>
      <c r="C4002" s="29"/>
    </row>
    <row r="4003" spans="2:3" x14ac:dyDescent="0.35">
      <c r="B4003" s="28"/>
      <c r="C4003" s="29"/>
    </row>
    <row r="4004" spans="2:3" x14ac:dyDescent="0.35">
      <c r="B4004" s="28"/>
      <c r="C4004" s="29"/>
    </row>
    <row r="4005" spans="2:3" x14ac:dyDescent="0.35">
      <c r="B4005" s="28"/>
      <c r="C4005" s="29"/>
    </row>
    <row r="4006" spans="2:3" x14ac:dyDescent="0.35">
      <c r="B4006" s="28"/>
      <c r="C4006" s="29"/>
    </row>
    <row r="4007" spans="2:3" x14ac:dyDescent="0.35">
      <c r="B4007" s="28"/>
      <c r="C4007" s="29"/>
    </row>
    <row r="4008" spans="2:3" x14ac:dyDescent="0.35">
      <c r="B4008" s="28"/>
      <c r="C4008" s="29"/>
    </row>
    <row r="4009" spans="2:3" x14ac:dyDescent="0.35">
      <c r="B4009" s="28"/>
      <c r="C4009" s="29"/>
    </row>
    <row r="4010" spans="2:3" x14ac:dyDescent="0.35">
      <c r="B4010" s="28"/>
      <c r="C4010" s="29"/>
    </row>
    <row r="4011" spans="2:3" x14ac:dyDescent="0.35">
      <c r="B4011" s="28"/>
      <c r="C4011" s="29"/>
    </row>
    <row r="4012" spans="2:3" x14ac:dyDescent="0.35">
      <c r="B4012" s="28"/>
      <c r="C4012" s="29"/>
    </row>
    <row r="4013" spans="2:3" ht="15.5" thickBot="1" x14ac:dyDescent="0.4">
      <c r="B4013" s="28"/>
      <c r="C4013" s="32"/>
    </row>
    <row r="4014" spans="2:3" x14ac:dyDescent="0.35">
      <c r="B4014" s="29"/>
    </row>
    <row r="4015" spans="2:3" x14ac:dyDescent="0.35">
      <c r="B4015" s="29"/>
    </row>
    <row r="4016" spans="2:3" x14ac:dyDescent="0.35">
      <c r="B4016" s="29"/>
    </row>
    <row r="4017" spans="2:2" x14ac:dyDescent="0.35">
      <c r="B4017" s="29"/>
    </row>
    <row r="4018" spans="2:2" x14ac:dyDescent="0.35">
      <c r="B4018" s="29"/>
    </row>
    <row r="4019" spans="2:2" x14ac:dyDescent="0.35">
      <c r="B4019" s="29"/>
    </row>
    <row r="4020" spans="2:2" x14ac:dyDescent="0.35">
      <c r="B4020" s="29"/>
    </row>
    <row r="4021" spans="2:2" x14ac:dyDescent="0.35">
      <c r="B4021" s="29"/>
    </row>
    <row r="4022" spans="2:2" x14ac:dyDescent="0.35">
      <c r="B4022" s="29"/>
    </row>
    <row r="4023" spans="2:2" x14ac:dyDescent="0.35">
      <c r="B4023" s="29"/>
    </row>
    <row r="4024" spans="2:2" x14ac:dyDescent="0.35">
      <c r="B4024" s="29"/>
    </row>
    <row r="4025" spans="2:2" x14ac:dyDescent="0.35">
      <c r="B4025" s="29"/>
    </row>
    <row r="4026" spans="2:2" x14ac:dyDescent="0.35">
      <c r="B4026" s="29"/>
    </row>
    <row r="4027" spans="2:2" x14ac:dyDescent="0.35">
      <c r="B4027" s="29"/>
    </row>
    <row r="4028" spans="2:2" x14ac:dyDescent="0.35">
      <c r="B4028" s="29"/>
    </row>
    <row r="4029" spans="2:2" x14ac:dyDescent="0.35">
      <c r="B4029" s="29"/>
    </row>
    <row r="4030" spans="2:2" x14ac:dyDescent="0.35">
      <c r="B4030" s="29"/>
    </row>
    <row r="4031" spans="2:2" x14ac:dyDescent="0.35">
      <c r="B4031" s="29"/>
    </row>
    <row r="4032" spans="2:2" x14ac:dyDescent="0.35">
      <c r="B4032" s="29"/>
    </row>
    <row r="4033" spans="2:2" x14ac:dyDescent="0.35">
      <c r="B4033" s="29"/>
    </row>
    <row r="4034" spans="2:2" x14ac:dyDescent="0.35">
      <c r="B4034" s="29"/>
    </row>
    <row r="4035" spans="2:2" x14ac:dyDescent="0.35">
      <c r="B4035" s="29"/>
    </row>
    <row r="4036" spans="2:2" x14ac:dyDescent="0.35">
      <c r="B4036" s="29"/>
    </row>
    <row r="4037" spans="2:2" x14ac:dyDescent="0.35">
      <c r="B4037" s="29"/>
    </row>
    <row r="4038" spans="2:2" x14ac:dyDescent="0.35">
      <c r="B4038" s="29"/>
    </row>
    <row r="4039" spans="2:2" x14ac:dyDescent="0.35">
      <c r="B4039" s="29"/>
    </row>
    <row r="4040" spans="2:2" x14ac:dyDescent="0.35">
      <c r="B4040" s="29"/>
    </row>
    <row r="4041" spans="2:2" x14ac:dyDescent="0.35">
      <c r="B4041" s="29"/>
    </row>
    <row r="4042" spans="2:2" x14ac:dyDescent="0.35">
      <c r="B4042" s="29"/>
    </row>
    <row r="4043" spans="2:2" x14ac:dyDescent="0.35">
      <c r="B4043" s="29"/>
    </row>
    <row r="4044" spans="2:2" x14ac:dyDescent="0.35">
      <c r="B4044" s="29"/>
    </row>
    <row r="4045" spans="2:2" x14ac:dyDescent="0.35">
      <c r="B4045" s="29"/>
    </row>
    <row r="4046" spans="2:2" x14ac:dyDescent="0.35">
      <c r="B4046" s="29"/>
    </row>
    <row r="4047" spans="2:2" x14ac:dyDescent="0.35">
      <c r="B4047" s="29"/>
    </row>
    <row r="4048" spans="2:2" x14ac:dyDescent="0.35">
      <c r="B4048" s="29"/>
    </row>
    <row r="4049" spans="2:2" x14ac:dyDescent="0.35">
      <c r="B4049" s="29"/>
    </row>
    <row r="4050" spans="2:2" x14ac:dyDescent="0.35">
      <c r="B4050" s="29"/>
    </row>
    <row r="4051" spans="2:2" x14ac:dyDescent="0.35">
      <c r="B4051" s="29"/>
    </row>
    <row r="4052" spans="2:2" x14ac:dyDescent="0.35">
      <c r="B4052" s="29"/>
    </row>
    <row r="4053" spans="2:2" x14ac:dyDescent="0.35">
      <c r="B4053" s="29"/>
    </row>
    <row r="4054" spans="2:2" x14ac:dyDescent="0.35">
      <c r="B4054" s="29"/>
    </row>
    <row r="4055" spans="2:2" x14ac:dyDescent="0.35">
      <c r="B4055" s="29"/>
    </row>
    <row r="4056" spans="2:2" x14ac:dyDescent="0.35">
      <c r="B4056" s="29"/>
    </row>
    <row r="4057" spans="2:2" x14ac:dyDescent="0.35">
      <c r="B4057" s="29"/>
    </row>
    <row r="4058" spans="2:2" x14ac:dyDescent="0.35">
      <c r="B4058" s="29"/>
    </row>
    <row r="4059" spans="2:2" x14ac:dyDescent="0.35">
      <c r="B4059" s="29"/>
    </row>
    <row r="4060" spans="2:2" x14ac:dyDescent="0.35">
      <c r="B4060" s="29"/>
    </row>
    <row r="4061" spans="2:2" x14ac:dyDescent="0.35">
      <c r="B4061" s="29"/>
    </row>
    <row r="4062" spans="2:2" x14ac:dyDescent="0.35">
      <c r="B4062" s="29"/>
    </row>
    <row r="4063" spans="2:2" x14ac:dyDescent="0.35">
      <c r="B4063" s="29"/>
    </row>
    <row r="4064" spans="2:2" x14ac:dyDescent="0.35">
      <c r="B4064" s="29"/>
    </row>
    <row r="4065" spans="2:2" x14ac:dyDescent="0.35">
      <c r="B4065" s="29"/>
    </row>
    <row r="4066" spans="2:2" x14ac:dyDescent="0.35">
      <c r="B4066" s="29"/>
    </row>
    <row r="4067" spans="2:2" x14ac:dyDescent="0.35">
      <c r="B4067" s="29"/>
    </row>
    <row r="4068" spans="2:2" x14ac:dyDescent="0.35">
      <c r="B4068" s="29"/>
    </row>
    <row r="4069" spans="2:2" x14ac:dyDescent="0.35">
      <c r="B4069" s="29"/>
    </row>
    <row r="4070" spans="2:2" x14ac:dyDescent="0.35">
      <c r="B4070" s="29"/>
    </row>
    <row r="4071" spans="2:2" x14ac:dyDescent="0.35">
      <c r="B4071" s="29"/>
    </row>
    <row r="4072" spans="2:2" x14ac:dyDescent="0.35">
      <c r="B4072" s="29"/>
    </row>
    <row r="4073" spans="2:2" x14ac:dyDescent="0.35">
      <c r="B4073" s="29"/>
    </row>
    <row r="4074" spans="2:2" x14ac:dyDescent="0.35">
      <c r="B4074" s="29"/>
    </row>
    <row r="4075" spans="2:2" x14ac:dyDescent="0.35">
      <c r="B4075" s="29"/>
    </row>
    <row r="4076" spans="2:2" x14ac:dyDescent="0.35">
      <c r="B4076" s="29"/>
    </row>
    <row r="4077" spans="2:2" x14ac:dyDescent="0.35">
      <c r="B4077" s="29"/>
    </row>
    <row r="4078" spans="2:2" x14ac:dyDescent="0.35">
      <c r="B4078" s="29"/>
    </row>
    <row r="4079" spans="2:2" x14ac:dyDescent="0.35">
      <c r="B4079" s="29"/>
    </row>
    <row r="4080" spans="2:2" x14ac:dyDescent="0.35">
      <c r="B4080" s="29"/>
    </row>
    <row r="4081" spans="2:2" x14ac:dyDescent="0.35">
      <c r="B4081" s="29"/>
    </row>
    <row r="4082" spans="2:2" x14ac:dyDescent="0.35">
      <c r="B4082" s="29"/>
    </row>
    <row r="4083" spans="2:2" x14ac:dyDescent="0.35">
      <c r="B4083" s="29"/>
    </row>
    <row r="4084" spans="2:2" x14ac:dyDescent="0.35">
      <c r="B4084" s="29"/>
    </row>
    <row r="4085" spans="2:2" x14ac:dyDescent="0.35">
      <c r="B4085" s="29"/>
    </row>
    <row r="4086" spans="2:2" x14ac:dyDescent="0.35">
      <c r="B4086" s="29"/>
    </row>
    <row r="4087" spans="2:2" x14ac:dyDescent="0.35">
      <c r="B4087" s="29"/>
    </row>
    <row r="4088" spans="2:2" x14ac:dyDescent="0.35">
      <c r="B4088" s="29"/>
    </row>
    <row r="4089" spans="2:2" x14ac:dyDescent="0.35">
      <c r="B4089" s="29"/>
    </row>
    <row r="4090" spans="2:2" x14ac:dyDescent="0.35">
      <c r="B4090" s="29"/>
    </row>
    <row r="4091" spans="2:2" x14ac:dyDescent="0.35">
      <c r="B4091" s="29"/>
    </row>
    <row r="4092" spans="2:2" x14ac:dyDescent="0.35">
      <c r="B4092" s="29"/>
    </row>
    <row r="4093" spans="2:2" x14ac:dyDescent="0.35">
      <c r="B4093" s="29"/>
    </row>
    <row r="4094" spans="2:2" x14ac:dyDescent="0.35">
      <c r="B4094" s="29"/>
    </row>
    <row r="4095" spans="2:2" x14ac:dyDescent="0.35">
      <c r="B4095" s="29"/>
    </row>
    <row r="4096" spans="2:2" x14ac:dyDescent="0.35">
      <c r="B4096" s="29"/>
    </row>
    <row r="4097" spans="2:2" x14ac:dyDescent="0.35">
      <c r="B4097" s="29"/>
    </row>
    <row r="4098" spans="2:2" x14ac:dyDescent="0.35">
      <c r="B4098" s="29"/>
    </row>
    <row r="4099" spans="2:2" x14ac:dyDescent="0.35">
      <c r="B4099" s="29"/>
    </row>
    <row r="4100" spans="2:2" x14ac:dyDescent="0.35">
      <c r="B4100" s="29"/>
    </row>
    <row r="4101" spans="2:2" x14ac:dyDescent="0.35">
      <c r="B4101" s="29"/>
    </row>
    <row r="4102" spans="2:2" x14ac:dyDescent="0.35">
      <c r="B4102" s="29"/>
    </row>
    <row r="4103" spans="2:2" x14ac:dyDescent="0.35">
      <c r="B4103" s="29"/>
    </row>
    <row r="4104" spans="2:2" x14ac:dyDescent="0.35">
      <c r="B4104" s="29"/>
    </row>
    <row r="4105" spans="2:2" x14ac:dyDescent="0.35">
      <c r="B4105" s="29"/>
    </row>
    <row r="4106" spans="2:2" x14ac:dyDescent="0.35">
      <c r="B4106" s="29"/>
    </row>
    <row r="4107" spans="2:2" x14ac:dyDescent="0.35">
      <c r="B4107" s="29"/>
    </row>
    <row r="4108" spans="2:2" x14ac:dyDescent="0.35">
      <c r="B4108" s="29"/>
    </row>
    <row r="4109" spans="2:2" x14ac:dyDescent="0.35">
      <c r="B4109" s="29"/>
    </row>
    <row r="4110" spans="2:2" x14ac:dyDescent="0.35">
      <c r="B4110" s="29"/>
    </row>
    <row r="4111" spans="2:2" x14ac:dyDescent="0.35">
      <c r="B4111" s="29"/>
    </row>
    <row r="4112" spans="2:2" x14ac:dyDescent="0.35">
      <c r="B4112" s="29"/>
    </row>
    <row r="4113" spans="2:2" x14ac:dyDescent="0.35">
      <c r="B4113" s="29"/>
    </row>
    <row r="4114" spans="2:2" x14ac:dyDescent="0.35">
      <c r="B4114" s="29"/>
    </row>
    <row r="4115" spans="2:2" x14ac:dyDescent="0.35">
      <c r="B4115" s="29"/>
    </row>
    <row r="4116" spans="2:2" x14ac:dyDescent="0.35">
      <c r="B4116" s="29"/>
    </row>
    <row r="4117" spans="2:2" x14ac:dyDescent="0.35">
      <c r="B4117" s="29"/>
    </row>
    <row r="4118" spans="2:2" x14ac:dyDescent="0.35">
      <c r="B4118" s="29"/>
    </row>
    <row r="4119" spans="2:2" x14ac:dyDescent="0.35">
      <c r="B4119" s="29"/>
    </row>
    <row r="4120" spans="2:2" x14ac:dyDescent="0.35">
      <c r="B4120" s="29"/>
    </row>
    <row r="4121" spans="2:2" x14ac:dyDescent="0.35">
      <c r="B4121" s="29"/>
    </row>
    <row r="4122" spans="2:2" x14ac:dyDescent="0.35">
      <c r="B4122" s="29"/>
    </row>
    <row r="4123" spans="2:2" x14ac:dyDescent="0.35">
      <c r="B4123" s="29"/>
    </row>
    <row r="4124" spans="2:2" x14ac:dyDescent="0.35">
      <c r="B4124" s="29"/>
    </row>
    <row r="4125" spans="2:2" x14ac:dyDescent="0.35">
      <c r="B4125" s="29"/>
    </row>
    <row r="4126" spans="2:2" x14ac:dyDescent="0.35">
      <c r="B4126" s="29"/>
    </row>
    <row r="4127" spans="2:2" x14ac:dyDescent="0.35">
      <c r="B4127" s="29"/>
    </row>
    <row r="4128" spans="2:2" x14ac:dyDescent="0.35">
      <c r="B4128" s="29"/>
    </row>
    <row r="4129" spans="2:2" x14ac:dyDescent="0.35">
      <c r="B4129" s="29"/>
    </row>
    <row r="4130" spans="2:2" x14ac:dyDescent="0.35">
      <c r="B4130" s="29"/>
    </row>
    <row r="4131" spans="2:2" x14ac:dyDescent="0.35">
      <c r="B4131" s="29"/>
    </row>
    <row r="4132" spans="2:2" x14ac:dyDescent="0.35">
      <c r="B4132" s="29"/>
    </row>
    <row r="4133" spans="2:2" x14ac:dyDescent="0.35">
      <c r="B4133" s="29"/>
    </row>
    <row r="4134" spans="2:2" x14ac:dyDescent="0.35">
      <c r="B4134" s="29"/>
    </row>
    <row r="4135" spans="2:2" x14ac:dyDescent="0.35">
      <c r="B4135" s="29"/>
    </row>
    <row r="4136" spans="2:2" x14ac:dyDescent="0.35">
      <c r="B4136" s="29"/>
    </row>
    <row r="4137" spans="2:2" x14ac:dyDescent="0.35">
      <c r="B4137" s="29"/>
    </row>
    <row r="4138" spans="2:2" x14ac:dyDescent="0.35">
      <c r="B4138" s="29"/>
    </row>
    <row r="4139" spans="2:2" x14ac:dyDescent="0.35">
      <c r="B4139" s="29"/>
    </row>
    <row r="4140" spans="2:2" x14ac:dyDescent="0.35">
      <c r="B4140" s="29"/>
    </row>
    <row r="4141" spans="2:2" x14ac:dyDescent="0.35">
      <c r="B4141" s="29"/>
    </row>
    <row r="4142" spans="2:2" x14ac:dyDescent="0.35">
      <c r="B4142" s="29"/>
    </row>
    <row r="4143" spans="2:2" x14ac:dyDescent="0.35">
      <c r="B4143" s="29"/>
    </row>
    <row r="4144" spans="2:2" x14ac:dyDescent="0.35">
      <c r="B4144" s="29"/>
    </row>
    <row r="4145" spans="2:2" x14ac:dyDescent="0.35">
      <c r="B4145" s="29"/>
    </row>
    <row r="4146" spans="2:2" x14ac:dyDescent="0.35">
      <c r="B4146" s="29"/>
    </row>
    <row r="4147" spans="2:2" x14ac:dyDescent="0.35">
      <c r="B4147" s="29"/>
    </row>
    <row r="4148" spans="2:2" x14ac:dyDescent="0.35">
      <c r="B4148" s="29"/>
    </row>
    <row r="4149" spans="2:2" x14ac:dyDescent="0.35">
      <c r="B4149" s="29"/>
    </row>
    <row r="4150" spans="2:2" x14ac:dyDescent="0.35">
      <c r="B4150" s="29"/>
    </row>
    <row r="4151" spans="2:2" x14ac:dyDescent="0.35">
      <c r="B4151" s="29"/>
    </row>
    <row r="4152" spans="2:2" x14ac:dyDescent="0.35">
      <c r="B4152" s="29"/>
    </row>
    <row r="4153" spans="2:2" x14ac:dyDescent="0.35">
      <c r="B4153" s="29"/>
    </row>
    <row r="4154" spans="2:2" x14ac:dyDescent="0.35">
      <c r="B4154" s="29"/>
    </row>
    <row r="4155" spans="2:2" x14ac:dyDescent="0.35">
      <c r="B4155" s="29"/>
    </row>
    <row r="4156" spans="2:2" x14ac:dyDescent="0.35">
      <c r="B4156" s="29"/>
    </row>
    <row r="4157" spans="2:2" x14ac:dyDescent="0.35">
      <c r="B4157" s="29"/>
    </row>
    <row r="4158" spans="2:2" x14ac:dyDescent="0.35">
      <c r="B4158" s="29"/>
    </row>
    <row r="4159" spans="2:2" x14ac:dyDescent="0.35">
      <c r="B4159" s="29"/>
    </row>
    <row r="4160" spans="2:2" x14ac:dyDescent="0.35">
      <c r="B4160" s="29"/>
    </row>
    <row r="4161" spans="2:2" x14ac:dyDescent="0.35">
      <c r="B4161" s="29"/>
    </row>
    <row r="4162" spans="2:2" x14ac:dyDescent="0.35">
      <c r="B4162" s="29"/>
    </row>
    <row r="4163" spans="2:2" x14ac:dyDescent="0.35">
      <c r="B4163" s="29"/>
    </row>
    <row r="4164" spans="2:2" x14ac:dyDescent="0.35">
      <c r="B4164" s="29"/>
    </row>
    <row r="4165" spans="2:2" x14ac:dyDescent="0.35">
      <c r="B4165" s="29"/>
    </row>
    <row r="4166" spans="2:2" x14ac:dyDescent="0.35">
      <c r="B4166" s="29"/>
    </row>
    <row r="4167" spans="2:2" x14ac:dyDescent="0.35">
      <c r="B4167" s="29"/>
    </row>
    <row r="4168" spans="2:2" x14ac:dyDescent="0.35">
      <c r="B4168" s="29"/>
    </row>
    <row r="4169" spans="2:2" x14ac:dyDescent="0.35">
      <c r="B4169" s="29"/>
    </row>
    <row r="4170" spans="2:2" x14ac:dyDescent="0.35">
      <c r="B4170" s="29"/>
    </row>
    <row r="4171" spans="2:2" x14ac:dyDescent="0.35">
      <c r="B4171" s="29"/>
    </row>
    <row r="4172" spans="2:2" x14ac:dyDescent="0.35">
      <c r="B4172" s="29"/>
    </row>
    <row r="4173" spans="2:2" x14ac:dyDescent="0.35">
      <c r="B4173" s="29"/>
    </row>
    <row r="4174" spans="2:2" x14ac:dyDescent="0.35">
      <c r="B4174" s="29"/>
    </row>
    <row r="4175" spans="2:2" x14ac:dyDescent="0.35">
      <c r="B4175" s="29"/>
    </row>
    <row r="4176" spans="2:2" x14ac:dyDescent="0.35">
      <c r="B4176" s="29"/>
    </row>
    <row r="4177" spans="2:2" x14ac:dyDescent="0.35">
      <c r="B4177" s="29"/>
    </row>
    <row r="4178" spans="2:2" x14ac:dyDescent="0.35">
      <c r="B4178" s="29"/>
    </row>
    <row r="4179" spans="2:2" x14ac:dyDescent="0.35">
      <c r="B4179" s="29"/>
    </row>
    <row r="4180" spans="2:2" x14ac:dyDescent="0.35">
      <c r="B4180" s="29"/>
    </row>
    <row r="4181" spans="2:2" x14ac:dyDescent="0.35">
      <c r="B4181" s="29"/>
    </row>
    <row r="4182" spans="2:2" x14ac:dyDescent="0.35">
      <c r="B4182" s="29"/>
    </row>
    <row r="4183" spans="2:2" x14ac:dyDescent="0.35">
      <c r="B4183" s="29"/>
    </row>
    <row r="4184" spans="2:2" x14ac:dyDescent="0.35">
      <c r="B4184" s="29"/>
    </row>
    <row r="4185" spans="2:2" x14ac:dyDescent="0.35">
      <c r="B4185" s="29"/>
    </row>
    <row r="4186" spans="2:2" x14ac:dyDescent="0.35">
      <c r="B4186" s="29"/>
    </row>
    <row r="4187" spans="2:2" x14ac:dyDescent="0.35">
      <c r="B4187" s="29"/>
    </row>
    <row r="4188" spans="2:2" x14ac:dyDescent="0.35">
      <c r="B4188" s="29"/>
    </row>
    <row r="4189" spans="2:2" x14ac:dyDescent="0.35">
      <c r="B4189" s="29"/>
    </row>
    <row r="4190" spans="2:2" x14ac:dyDescent="0.35">
      <c r="B4190" s="29"/>
    </row>
    <row r="4191" spans="2:2" x14ac:dyDescent="0.35">
      <c r="B4191" s="29"/>
    </row>
    <row r="4192" spans="2:2" x14ac:dyDescent="0.35">
      <c r="B4192" s="29"/>
    </row>
    <row r="4193" spans="2:2" x14ac:dyDescent="0.35">
      <c r="B4193" s="29"/>
    </row>
    <row r="4194" spans="2:2" x14ac:dyDescent="0.35">
      <c r="B4194" s="29"/>
    </row>
    <row r="4195" spans="2:2" x14ac:dyDescent="0.35">
      <c r="B4195" s="29"/>
    </row>
    <row r="4196" spans="2:2" x14ac:dyDescent="0.35">
      <c r="B4196" s="29"/>
    </row>
    <row r="4197" spans="2:2" x14ac:dyDescent="0.35">
      <c r="B4197" s="29"/>
    </row>
    <row r="4198" spans="2:2" x14ac:dyDescent="0.35">
      <c r="B4198" s="29"/>
    </row>
    <row r="4199" spans="2:2" x14ac:dyDescent="0.35">
      <c r="B4199" s="29"/>
    </row>
    <row r="4200" spans="2:2" x14ac:dyDescent="0.35">
      <c r="B4200" s="29"/>
    </row>
    <row r="4201" spans="2:2" x14ac:dyDescent="0.35">
      <c r="B4201" s="29"/>
    </row>
    <row r="4202" spans="2:2" x14ac:dyDescent="0.35">
      <c r="B4202" s="29"/>
    </row>
    <row r="4203" spans="2:2" x14ac:dyDescent="0.35">
      <c r="B4203" s="29"/>
    </row>
    <row r="4204" spans="2:2" x14ac:dyDescent="0.35">
      <c r="B4204" s="29"/>
    </row>
    <row r="4205" spans="2:2" x14ac:dyDescent="0.35">
      <c r="B4205" s="29"/>
    </row>
    <row r="4206" spans="2:2" x14ac:dyDescent="0.35">
      <c r="B4206" s="29"/>
    </row>
    <row r="4207" spans="2:2" x14ac:dyDescent="0.35">
      <c r="B4207" s="29"/>
    </row>
    <row r="4208" spans="2:2" x14ac:dyDescent="0.35">
      <c r="B4208" s="29"/>
    </row>
    <row r="4209" spans="2:2" x14ac:dyDescent="0.35">
      <c r="B4209" s="29"/>
    </row>
    <row r="4210" spans="2:2" x14ac:dyDescent="0.35">
      <c r="B4210" s="29"/>
    </row>
    <row r="4211" spans="2:2" x14ac:dyDescent="0.35">
      <c r="B4211" s="29"/>
    </row>
    <row r="4212" spans="2:2" x14ac:dyDescent="0.35">
      <c r="B4212" s="29"/>
    </row>
    <row r="4213" spans="2:2" x14ac:dyDescent="0.35">
      <c r="B4213" s="29"/>
    </row>
    <row r="4214" spans="2:2" x14ac:dyDescent="0.35">
      <c r="B4214" s="29"/>
    </row>
    <row r="4215" spans="2:2" x14ac:dyDescent="0.35">
      <c r="B4215" s="29"/>
    </row>
    <row r="4216" spans="2:2" x14ac:dyDescent="0.35">
      <c r="B4216" s="29"/>
    </row>
    <row r="4217" spans="2:2" x14ac:dyDescent="0.35">
      <c r="B4217" s="29"/>
    </row>
    <row r="4218" spans="2:2" x14ac:dyDescent="0.35">
      <c r="B4218" s="29"/>
    </row>
    <row r="4219" spans="2:2" x14ac:dyDescent="0.35">
      <c r="B4219" s="29"/>
    </row>
    <row r="4220" spans="2:2" x14ac:dyDescent="0.35">
      <c r="B4220" s="29"/>
    </row>
    <row r="4221" spans="2:2" x14ac:dyDescent="0.35">
      <c r="B4221" s="29"/>
    </row>
    <row r="4222" spans="2:2" x14ac:dyDescent="0.35">
      <c r="B4222" s="29"/>
    </row>
    <row r="4223" spans="2:2" x14ac:dyDescent="0.35">
      <c r="B4223" s="29"/>
    </row>
    <row r="4224" spans="2:2" x14ac:dyDescent="0.35">
      <c r="B4224" s="29"/>
    </row>
    <row r="4225" spans="2:2" x14ac:dyDescent="0.35">
      <c r="B4225" s="29"/>
    </row>
    <row r="4226" spans="2:2" x14ac:dyDescent="0.35">
      <c r="B4226" s="29"/>
    </row>
    <row r="4227" spans="2:2" x14ac:dyDescent="0.35">
      <c r="B4227" s="29"/>
    </row>
    <row r="4228" spans="2:2" x14ac:dyDescent="0.35">
      <c r="B4228" s="29"/>
    </row>
    <row r="4229" spans="2:2" x14ac:dyDescent="0.35">
      <c r="B4229" s="29"/>
    </row>
    <row r="4230" spans="2:2" x14ac:dyDescent="0.35">
      <c r="B4230" s="29"/>
    </row>
    <row r="4231" spans="2:2" x14ac:dyDescent="0.35">
      <c r="B4231" s="29"/>
    </row>
    <row r="4232" spans="2:2" x14ac:dyDescent="0.35">
      <c r="B4232" s="29"/>
    </row>
    <row r="4233" spans="2:2" x14ac:dyDescent="0.35">
      <c r="B4233" s="29"/>
    </row>
    <row r="4234" spans="2:2" x14ac:dyDescent="0.35">
      <c r="B4234" s="29"/>
    </row>
    <row r="4235" spans="2:2" x14ac:dyDescent="0.35">
      <c r="B4235" s="29"/>
    </row>
    <row r="4236" spans="2:2" x14ac:dyDescent="0.35">
      <c r="B4236" s="29"/>
    </row>
    <row r="4237" spans="2:2" x14ac:dyDescent="0.35">
      <c r="B4237" s="29"/>
    </row>
    <row r="4238" spans="2:2" x14ac:dyDescent="0.35">
      <c r="B4238" s="29"/>
    </row>
    <row r="4239" spans="2:2" x14ac:dyDescent="0.35">
      <c r="B4239" s="29"/>
    </row>
    <row r="4240" spans="2:2" x14ac:dyDescent="0.35">
      <c r="B4240" s="29"/>
    </row>
    <row r="4241" spans="2:2" x14ac:dyDescent="0.35">
      <c r="B4241" s="29"/>
    </row>
    <row r="4242" spans="2:2" x14ac:dyDescent="0.35">
      <c r="B4242" s="29"/>
    </row>
    <row r="4243" spans="2:2" x14ac:dyDescent="0.35">
      <c r="B4243" s="29"/>
    </row>
    <row r="4244" spans="2:2" x14ac:dyDescent="0.35">
      <c r="B4244" s="29"/>
    </row>
    <row r="4245" spans="2:2" x14ac:dyDescent="0.35">
      <c r="B4245" s="29"/>
    </row>
    <row r="4246" spans="2:2" x14ac:dyDescent="0.35">
      <c r="B4246" s="29"/>
    </row>
    <row r="4247" spans="2:2" x14ac:dyDescent="0.35">
      <c r="B4247" s="29"/>
    </row>
    <row r="4248" spans="2:2" x14ac:dyDescent="0.35">
      <c r="B4248" s="29"/>
    </row>
    <row r="4249" spans="2:2" x14ac:dyDescent="0.35">
      <c r="B4249" s="29"/>
    </row>
    <row r="4250" spans="2:2" x14ac:dyDescent="0.35">
      <c r="B4250" s="29"/>
    </row>
    <row r="4251" spans="2:2" x14ac:dyDescent="0.35">
      <c r="B4251" s="29"/>
    </row>
    <row r="4252" spans="2:2" x14ac:dyDescent="0.35">
      <c r="B4252" s="29"/>
    </row>
    <row r="4253" spans="2:2" x14ac:dyDescent="0.35">
      <c r="B4253" s="29"/>
    </row>
    <row r="4254" spans="2:2" x14ac:dyDescent="0.35">
      <c r="B4254" s="29"/>
    </row>
    <row r="4255" spans="2:2" x14ac:dyDescent="0.35">
      <c r="B4255" s="29"/>
    </row>
    <row r="4256" spans="2:2" x14ac:dyDescent="0.35">
      <c r="B4256" s="29"/>
    </row>
    <row r="4257" spans="2:2" x14ac:dyDescent="0.35">
      <c r="B4257" s="29"/>
    </row>
    <row r="4258" spans="2:2" x14ac:dyDescent="0.35">
      <c r="B4258" s="29"/>
    </row>
    <row r="4259" spans="2:2" x14ac:dyDescent="0.35">
      <c r="B4259" s="29"/>
    </row>
    <row r="4260" spans="2:2" x14ac:dyDescent="0.35">
      <c r="B4260" s="29"/>
    </row>
    <row r="4261" spans="2:2" x14ac:dyDescent="0.35">
      <c r="B4261" s="29"/>
    </row>
    <row r="4262" spans="2:2" x14ac:dyDescent="0.35">
      <c r="B4262" s="29"/>
    </row>
    <row r="4263" spans="2:2" x14ac:dyDescent="0.35">
      <c r="B4263" s="29"/>
    </row>
    <row r="4264" spans="2:2" x14ac:dyDescent="0.35">
      <c r="B4264" s="29"/>
    </row>
    <row r="4265" spans="2:2" x14ac:dyDescent="0.35">
      <c r="B4265" s="29"/>
    </row>
    <row r="4266" spans="2:2" x14ac:dyDescent="0.35">
      <c r="B4266" s="29"/>
    </row>
    <row r="4267" spans="2:2" x14ac:dyDescent="0.35">
      <c r="B4267" s="29"/>
    </row>
    <row r="4268" spans="2:2" x14ac:dyDescent="0.35">
      <c r="B4268" s="29"/>
    </row>
    <row r="4269" spans="2:2" x14ac:dyDescent="0.35">
      <c r="B4269" s="29"/>
    </row>
    <row r="4270" spans="2:2" x14ac:dyDescent="0.35">
      <c r="B4270" s="29"/>
    </row>
    <row r="4271" spans="2:2" x14ac:dyDescent="0.35">
      <c r="B4271" s="29"/>
    </row>
    <row r="4272" spans="2:2" x14ac:dyDescent="0.35">
      <c r="B4272" s="29"/>
    </row>
    <row r="4273" spans="2:2" x14ac:dyDescent="0.35">
      <c r="B4273" s="29"/>
    </row>
    <row r="4274" spans="2:2" x14ac:dyDescent="0.35">
      <c r="B4274" s="29"/>
    </row>
    <row r="4275" spans="2:2" x14ac:dyDescent="0.35">
      <c r="B4275" s="29"/>
    </row>
    <row r="4276" spans="2:2" x14ac:dyDescent="0.35">
      <c r="B4276" s="29"/>
    </row>
    <row r="4277" spans="2:2" x14ac:dyDescent="0.35">
      <c r="B4277" s="29"/>
    </row>
    <row r="4278" spans="2:2" x14ac:dyDescent="0.35">
      <c r="B4278" s="29"/>
    </row>
    <row r="4279" spans="2:2" x14ac:dyDescent="0.35">
      <c r="B4279" s="29"/>
    </row>
    <row r="4280" spans="2:2" x14ac:dyDescent="0.35">
      <c r="B4280" s="29"/>
    </row>
    <row r="4281" spans="2:2" x14ac:dyDescent="0.35">
      <c r="B4281" s="29"/>
    </row>
    <row r="4282" spans="2:2" x14ac:dyDescent="0.35">
      <c r="B4282" s="29"/>
    </row>
    <row r="4283" spans="2:2" x14ac:dyDescent="0.35">
      <c r="B4283" s="29"/>
    </row>
    <row r="4284" spans="2:2" x14ac:dyDescent="0.35">
      <c r="B4284" s="29"/>
    </row>
    <row r="4285" spans="2:2" x14ac:dyDescent="0.35">
      <c r="B4285" s="29"/>
    </row>
    <row r="4286" spans="2:2" x14ac:dyDescent="0.35">
      <c r="B4286" s="29"/>
    </row>
    <row r="4287" spans="2:2" x14ac:dyDescent="0.35">
      <c r="B4287" s="29"/>
    </row>
    <row r="4288" spans="2:2" x14ac:dyDescent="0.35">
      <c r="B4288" s="29"/>
    </row>
    <row r="4289" spans="2:2" x14ac:dyDescent="0.35">
      <c r="B4289" s="29"/>
    </row>
    <row r="4290" spans="2:2" x14ac:dyDescent="0.35">
      <c r="B4290" s="29"/>
    </row>
    <row r="4291" spans="2:2" x14ac:dyDescent="0.35">
      <c r="B4291" s="29"/>
    </row>
    <row r="4292" spans="2:2" x14ac:dyDescent="0.35">
      <c r="B4292" s="29"/>
    </row>
    <row r="4293" spans="2:2" x14ac:dyDescent="0.35">
      <c r="B4293" s="29"/>
    </row>
    <row r="4294" spans="2:2" x14ac:dyDescent="0.35">
      <c r="B4294" s="29"/>
    </row>
    <row r="4295" spans="2:2" x14ac:dyDescent="0.35">
      <c r="B4295" s="29"/>
    </row>
    <row r="4296" spans="2:2" x14ac:dyDescent="0.35">
      <c r="B4296" s="29"/>
    </row>
    <row r="4297" spans="2:2" x14ac:dyDescent="0.35">
      <c r="B4297" s="29"/>
    </row>
    <row r="4298" spans="2:2" x14ac:dyDescent="0.35">
      <c r="B4298" s="29"/>
    </row>
    <row r="4299" spans="2:2" x14ac:dyDescent="0.35">
      <c r="B4299" s="29"/>
    </row>
    <row r="4300" spans="2:2" x14ac:dyDescent="0.35">
      <c r="B4300" s="29"/>
    </row>
    <row r="4301" spans="2:2" x14ac:dyDescent="0.35">
      <c r="B4301" s="29"/>
    </row>
    <row r="4302" spans="2:2" x14ac:dyDescent="0.35">
      <c r="B4302" s="29"/>
    </row>
    <row r="4303" spans="2:2" x14ac:dyDescent="0.35">
      <c r="B4303" s="29"/>
    </row>
    <row r="4304" spans="2:2" x14ac:dyDescent="0.35">
      <c r="B4304" s="29"/>
    </row>
    <row r="4305" spans="2:2" x14ac:dyDescent="0.35">
      <c r="B4305" s="29"/>
    </row>
    <row r="4306" spans="2:2" x14ac:dyDescent="0.35">
      <c r="B4306" s="29"/>
    </row>
    <row r="4307" spans="2:2" x14ac:dyDescent="0.35">
      <c r="B4307" s="29"/>
    </row>
    <row r="4308" spans="2:2" x14ac:dyDescent="0.35">
      <c r="B4308" s="29"/>
    </row>
    <row r="4309" spans="2:2" x14ac:dyDescent="0.35">
      <c r="B4309" s="29"/>
    </row>
    <row r="4310" spans="2:2" x14ac:dyDescent="0.35">
      <c r="B4310" s="29"/>
    </row>
    <row r="4311" spans="2:2" x14ac:dyDescent="0.35">
      <c r="B4311" s="29"/>
    </row>
    <row r="4312" spans="2:2" x14ac:dyDescent="0.35">
      <c r="B4312" s="29"/>
    </row>
    <row r="4313" spans="2:2" x14ac:dyDescent="0.35">
      <c r="B4313" s="29"/>
    </row>
    <row r="4314" spans="2:2" x14ac:dyDescent="0.35">
      <c r="B4314" s="29"/>
    </row>
    <row r="4315" spans="2:2" x14ac:dyDescent="0.35">
      <c r="B4315" s="29"/>
    </row>
    <row r="4316" spans="2:2" x14ac:dyDescent="0.35">
      <c r="B4316" s="29"/>
    </row>
    <row r="4317" spans="2:2" x14ac:dyDescent="0.35">
      <c r="B4317" s="29"/>
    </row>
    <row r="4318" spans="2:2" x14ac:dyDescent="0.35">
      <c r="B4318" s="29"/>
    </row>
    <row r="4319" spans="2:2" x14ac:dyDescent="0.35">
      <c r="B4319" s="29"/>
    </row>
    <row r="4320" spans="2:2" x14ac:dyDescent="0.35">
      <c r="B4320" s="29"/>
    </row>
    <row r="4321" spans="2:2" x14ac:dyDescent="0.35">
      <c r="B4321" s="29"/>
    </row>
    <row r="4322" spans="2:2" x14ac:dyDescent="0.35">
      <c r="B4322" s="29"/>
    </row>
    <row r="4323" spans="2:2" x14ac:dyDescent="0.35">
      <c r="B4323" s="29"/>
    </row>
    <row r="4324" spans="2:2" x14ac:dyDescent="0.35">
      <c r="B4324" s="29"/>
    </row>
    <row r="4325" spans="2:2" x14ac:dyDescent="0.35">
      <c r="B4325" s="29"/>
    </row>
    <row r="4326" spans="2:2" x14ac:dyDescent="0.35">
      <c r="B4326" s="29"/>
    </row>
    <row r="4327" spans="2:2" x14ac:dyDescent="0.35">
      <c r="B4327" s="29"/>
    </row>
    <row r="4328" spans="2:2" x14ac:dyDescent="0.35">
      <c r="B4328" s="29"/>
    </row>
    <row r="4329" spans="2:2" x14ac:dyDescent="0.35">
      <c r="B4329" s="29"/>
    </row>
    <row r="4330" spans="2:2" x14ac:dyDescent="0.35">
      <c r="B4330" s="29"/>
    </row>
    <row r="4331" spans="2:2" x14ac:dyDescent="0.35">
      <c r="B4331" s="29"/>
    </row>
    <row r="4332" spans="2:2" x14ac:dyDescent="0.35">
      <c r="B4332" s="29"/>
    </row>
    <row r="4333" spans="2:2" x14ac:dyDescent="0.35">
      <c r="B4333" s="29"/>
    </row>
    <row r="4334" spans="2:2" x14ac:dyDescent="0.35">
      <c r="B4334" s="29"/>
    </row>
    <row r="4335" spans="2:2" x14ac:dyDescent="0.35">
      <c r="B4335" s="29"/>
    </row>
    <row r="4336" spans="2:2" x14ac:dyDescent="0.35">
      <c r="B4336" s="29"/>
    </row>
    <row r="4337" spans="2:2" x14ac:dyDescent="0.35">
      <c r="B4337" s="29"/>
    </row>
    <row r="4338" spans="2:2" x14ac:dyDescent="0.35">
      <c r="B4338" s="29"/>
    </row>
    <row r="4339" spans="2:2" x14ac:dyDescent="0.35">
      <c r="B4339" s="29"/>
    </row>
    <row r="4340" spans="2:2" x14ac:dyDescent="0.35">
      <c r="B4340" s="29"/>
    </row>
    <row r="4341" spans="2:2" x14ac:dyDescent="0.35">
      <c r="B4341" s="29"/>
    </row>
    <row r="4342" spans="2:2" x14ac:dyDescent="0.35">
      <c r="B4342" s="29"/>
    </row>
    <row r="4343" spans="2:2" x14ac:dyDescent="0.35">
      <c r="B4343" s="29"/>
    </row>
    <row r="4344" spans="2:2" x14ac:dyDescent="0.35">
      <c r="B4344" s="29"/>
    </row>
    <row r="4345" spans="2:2" x14ac:dyDescent="0.35">
      <c r="B4345" s="29"/>
    </row>
    <row r="4346" spans="2:2" x14ac:dyDescent="0.35">
      <c r="B4346" s="29"/>
    </row>
    <row r="4347" spans="2:2" x14ac:dyDescent="0.35">
      <c r="B4347" s="29"/>
    </row>
    <row r="4348" spans="2:2" x14ac:dyDescent="0.35">
      <c r="B4348" s="29"/>
    </row>
    <row r="4349" spans="2:2" x14ac:dyDescent="0.35">
      <c r="B4349" s="29"/>
    </row>
    <row r="4350" spans="2:2" x14ac:dyDescent="0.35">
      <c r="B4350" s="29"/>
    </row>
    <row r="4351" spans="2:2" x14ac:dyDescent="0.35">
      <c r="B4351" s="29"/>
    </row>
    <row r="4352" spans="2:2" x14ac:dyDescent="0.35">
      <c r="B4352" s="29"/>
    </row>
    <row r="4353" spans="2:2" x14ac:dyDescent="0.35">
      <c r="B4353" s="29"/>
    </row>
    <row r="4354" spans="2:2" x14ac:dyDescent="0.35">
      <c r="B4354" s="29"/>
    </row>
    <row r="4355" spans="2:2" x14ac:dyDescent="0.35">
      <c r="B4355" s="29"/>
    </row>
    <row r="4356" spans="2:2" x14ac:dyDescent="0.35">
      <c r="B4356" s="29"/>
    </row>
    <row r="4357" spans="2:2" x14ac:dyDescent="0.35">
      <c r="B4357" s="29"/>
    </row>
    <row r="4358" spans="2:2" x14ac:dyDescent="0.35">
      <c r="B4358" s="29"/>
    </row>
    <row r="4359" spans="2:2" x14ac:dyDescent="0.35">
      <c r="B4359" s="29"/>
    </row>
    <row r="4360" spans="2:2" x14ac:dyDescent="0.35">
      <c r="B4360" s="29"/>
    </row>
    <row r="4361" spans="2:2" x14ac:dyDescent="0.35">
      <c r="B4361" s="29"/>
    </row>
    <row r="4362" spans="2:2" x14ac:dyDescent="0.35">
      <c r="B4362" s="29"/>
    </row>
    <row r="4363" spans="2:2" x14ac:dyDescent="0.35">
      <c r="B4363" s="29"/>
    </row>
    <row r="4364" spans="2:2" x14ac:dyDescent="0.35">
      <c r="B4364" s="29"/>
    </row>
    <row r="4365" spans="2:2" x14ac:dyDescent="0.35">
      <c r="B4365" s="29"/>
    </row>
    <row r="4366" spans="2:2" x14ac:dyDescent="0.35">
      <c r="B4366" s="29"/>
    </row>
    <row r="4367" spans="2:2" x14ac:dyDescent="0.35">
      <c r="B4367" s="29"/>
    </row>
    <row r="4368" spans="2:2" x14ac:dyDescent="0.35">
      <c r="B4368" s="29"/>
    </row>
    <row r="4369" spans="2:2" x14ac:dyDescent="0.35">
      <c r="B4369" s="29"/>
    </row>
    <row r="4370" spans="2:2" x14ac:dyDescent="0.35">
      <c r="B4370" s="29"/>
    </row>
    <row r="4371" spans="2:2" x14ac:dyDescent="0.35">
      <c r="B4371" s="29"/>
    </row>
    <row r="4372" spans="2:2" x14ac:dyDescent="0.35">
      <c r="B4372" s="29"/>
    </row>
    <row r="4373" spans="2:2" x14ac:dyDescent="0.35">
      <c r="B4373" s="29"/>
    </row>
    <row r="4374" spans="2:2" x14ac:dyDescent="0.35">
      <c r="B4374" s="29"/>
    </row>
    <row r="4375" spans="2:2" x14ac:dyDescent="0.35">
      <c r="B4375" s="29"/>
    </row>
    <row r="4376" spans="2:2" x14ac:dyDescent="0.35">
      <c r="B4376" s="29"/>
    </row>
    <row r="4377" spans="2:2" x14ac:dyDescent="0.35">
      <c r="B4377" s="29"/>
    </row>
    <row r="4378" spans="2:2" x14ac:dyDescent="0.35">
      <c r="B4378" s="29"/>
    </row>
    <row r="4379" spans="2:2" x14ac:dyDescent="0.35">
      <c r="B4379" s="29"/>
    </row>
    <row r="4380" spans="2:2" x14ac:dyDescent="0.35">
      <c r="B4380" s="29"/>
    </row>
    <row r="4381" spans="2:2" x14ac:dyDescent="0.35">
      <c r="B4381" s="29"/>
    </row>
    <row r="4382" spans="2:2" x14ac:dyDescent="0.35">
      <c r="B4382" s="29"/>
    </row>
    <row r="4383" spans="2:2" x14ac:dyDescent="0.35">
      <c r="B4383" s="29"/>
    </row>
    <row r="4384" spans="2:2" x14ac:dyDescent="0.35">
      <c r="B4384" s="29"/>
    </row>
    <row r="4385" spans="2:2" x14ac:dyDescent="0.35">
      <c r="B4385" s="29"/>
    </row>
    <row r="4386" spans="2:2" x14ac:dyDescent="0.35">
      <c r="B4386" s="29"/>
    </row>
    <row r="4387" spans="2:2" x14ac:dyDescent="0.35">
      <c r="B4387" s="29"/>
    </row>
    <row r="4388" spans="2:2" x14ac:dyDescent="0.35">
      <c r="B4388" s="29"/>
    </row>
    <row r="4389" spans="2:2" x14ac:dyDescent="0.35">
      <c r="B4389" s="29"/>
    </row>
    <row r="4390" spans="2:2" x14ac:dyDescent="0.35">
      <c r="B4390" s="29"/>
    </row>
    <row r="4391" spans="2:2" x14ac:dyDescent="0.35">
      <c r="B4391" s="29"/>
    </row>
    <row r="4392" spans="2:2" x14ac:dyDescent="0.35">
      <c r="B4392" s="29"/>
    </row>
    <row r="4393" spans="2:2" x14ac:dyDescent="0.35">
      <c r="B4393" s="29"/>
    </row>
    <row r="4394" spans="2:2" x14ac:dyDescent="0.35">
      <c r="B4394" s="29"/>
    </row>
    <row r="4395" spans="2:2" x14ac:dyDescent="0.35">
      <c r="B4395" s="29"/>
    </row>
    <row r="4396" spans="2:2" x14ac:dyDescent="0.35">
      <c r="B4396" s="29"/>
    </row>
    <row r="4397" spans="2:2" x14ac:dyDescent="0.35">
      <c r="B4397" s="29"/>
    </row>
    <row r="4398" spans="2:2" x14ac:dyDescent="0.35">
      <c r="B4398" s="29"/>
    </row>
    <row r="4399" spans="2:2" x14ac:dyDescent="0.35">
      <c r="B4399" s="29"/>
    </row>
    <row r="4400" spans="2:2" x14ac:dyDescent="0.35">
      <c r="B4400" s="29"/>
    </row>
    <row r="4401" spans="2:2" x14ac:dyDescent="0.35">
      <c r="B4401" s="29"/>
    </row>
    <row r="4402" spans="2:2" x14ac:dyDescent="0.35">
      <c r="B4402" s="29"/>
    </row>
    <row r="4403" spans="2:2" x14ac:dyDescent="0.35">
      <c r="B4403" s="29"/>
    </row>
    <row r="4404" spans="2:2" x14ac:dyDescent="0.35">
      <c r="B4404" s="29"/>
    </row>
    <row r="4405" spans="2:2" x14ac:dyDescent="0.35">
      <c r="B4405" s="29"/>
    </row>
    <row r="4406" spans="2:2" x14ac:dyDescent="0.35">
      <c r="B4406" s="29"/>
    </row>
    <row r="4407" spans="2:2" x14ac:dyDescent="0.35">
      <c r="B4407" s="29"/>
    </row>
    <row r="4408" spans="2:2" x14ac:dyDescent="0.35">
      <c r="B4408" s="29"/>
    </row>
    <row r="4409" spans="2:2" x14ac:dyDescent="0.35">
      <c r="B4409" s="29"/>
    </row>
    <row r="4410" spans="2:2" x14ac:dyDescent="0.35">
      <c r="B4410" s="29"/>
    </row>
    <row r="4411" spans="2:2" x14ac:dyDescent="0.35">
      <c r="B4411" s="29"/>
    </row>
    <row r="4412" spans="2:2" x14ac:dyDescent="0.35">
      <c r="B4412" s="29"/>
    </row>
    <row r="4413" spans="2:2" x14ac:dyDescent="0.35">
      <c r="B4413" s="29"/>
    </row>
    <row r="4414" spans="2:2" x14ac:dyDescent="0.35">
      <c r="B4414" s="29"/>
    </row>
    <row r="4415" spans="2:2" x14ac:dyDescent="0.35">
      <c r="B4415" s="29"/>
    </row>
    <row r="4416" spans="2:2" x14ac:dyDescent="0.35">
      <c r="B4416" s="29"/>
    </row>
    <row r="4417" spans="2:2" x14ac:dyDescent="0.35">
      <c r="B4417" s="29"/>
    </row>
    <row r="4418" spans="2:2" x14ac:dyDescent="0.35">
      <c r="B4418" s="29"/>
    </row>
    <row r="4419" spans="2:2" x14ac:dyDescent="0.35">
      <c r="B4419" s="29"/>
    </row>
    <row r="4420" spans="2:2" x14ac:dyDescent="0.35">
      <c r="B4420" s="29"/>
    </row>
    <row r="4421" spans="2:2" x14ac:dyDescent="0.35">
      <c r="B4421" s="29"/>
    </row>
    <row r="4422" spans="2:2" x14ac:dyDescent="0.35">
      <c r="B4422" s="29"/>
    </row>
    <row r="4423" spans="2:2" x14ac:dyDescent="0.35">
      <c r="B4423" s="29"/>
    </row>
    <row r="4424" spans="2:2" x14ac:dyDescent="0.35">
      <c r="B4424" s="29"/>
    </row>
    <row r="4425" spans="2:2" x14ac:dyDescent="0.35">
      <c r="B4425" s="29"/>
    </row>
    <row r="4426" spans="2:2" x14ac:dyDescent="0.35">
      <c r="B4426" s="29"/>
    </row>
    <row r="4427" spans="2:2" x14ac:dyDescent="0.35">
      <c r="B4427" s="29"/>
    </row>
    <row r="4428" spans="2:2" x14ac:dyDescent="0.35">
      <c r="B4428" s="29"/>
    </row>
    <row r="4429" spans="2:2" x14ac:dyDescent="0.35">
      <c r="B4429" s="29"/>
    </row>
    <row r="4430" spans="2:2" x14ac:dyDescent="0.35">
      <c r="B4430" s="29"/>
    </row>
    <row r="4431" spans="2:2" x14ac:dyDescent="0.35">
      <c r="B4431" s="29"/>
    </row>
    <row r="4432" spans="2:2" x14ac:dyDescent="0.35">
      <c r="B4432" s="29"/>
    </row>
    <row r="4433" spans="2:2" x14ac:dyDescent="0.35">
      <c r="B4433" s="29"/>
    </row>
    <row r="4434" spans="2:2" x14ac:dyDescent="0.35">
      <c r="B4434" s="29"/>
    </row>
    <row r="4435" spans="2:2" x14ac:dyDescent="0.35">
      <c r="B4435" s="29"/>
    </row>
    <row r="4436" spans="2:2" x14ac:dyDescent="0.35">
      <c r="B4436" s="29"/>
    </row>
    <row r="4437" spans="2:2" x14ac:dyDescent="0.35">
      <c r="B4437" s="29"/>
    </row>
    <row r="4438" spans="2:2" x14ac:dyDescent="0.35">
      <c r="B4438" s="29"/>
    </row>
    <row r="4439" spans="2:2" x14ac:dyDescent="0.35">
      <c r="B4439" s="29"/>
    </row>
    <row r="4440" spans="2:2" x14ac:dyDescent="0.35">
      <c r="B4440" s="29"/>
    </row>
    <row r="4441" spans="2:2" x14ac:dyDescent="0.35">
      <c r="B4441" s="29"/>
    </row>
    <row r="4442" spans="2:2" x14ac:dyDescent="0.35">
      <c r="B4442" s="29"/>
    </row>
    <row r="4443" spans="2:2" x14ac:dyDescent="0.35">
      <c r="B4443" s="29"/>
    </row>
    <row r="4444" spans="2:2" x14ac:dyDescent="0.35">
      <c r="B4444" s="29"/>
    </row>
    <row r="4445" spans="2:2" x14ac:dyDescent="0.35">
      <c r="B4445" s="29"/>
    </row>
    <row r="4446" spans="2:2" x14ac:dyDescent="0.35">
      <c r="B4446" s="29"/>
    </row>
    <row r="4447" spans="2:2" x14ac:dyDescent="0.35">
      <c r="B4447" s="29"/>
    </row>
    <row r="4448" spans="2:2" x14ac:dyDescent="0.35">
      <c r="B4448" s="29"/>
    </row>
    <row r="4449" spans="2:2" x14ac:dyDescent="0.35">
      <c r="B4449" s="29"/>
    </row>
    <row r="4450" spans="2:2" x14ac:dyDescent="0.35">
      <c r="B4450" s="29"/>
    </row>
    <row r="4451" spans="2:2" x14ac:dyDescent="0.35">
      <c r="B4451" s="29"/>
    </row>
    <row r="4452" spans="2:2" x14ac:dyDescent="0.35">
      <c r="B4452" s="29"/>
    </row>
    <row r="4453" spans="2:2" x14ac:dyDescent="0.35">
      <c r="B4453" s="29"/>
    </row>
    <row r="4454" spans="2:2" x14ac:dyDescent="0.35">
      <c r="B4454" s="29"/>
    </row>
    <row r="4455" spans="2:2" x14ac:dyDescent="0.35">
      <c r="B4455" s="29"/>
    </row>
    <row r="4456" spans="2:2" x14ac:dyDescent="0.35">
      <c r="B4456" s="29"/>
    </row>
    <row r="4457" spans="2:2" x14ac:dyDescent="0.35">
      <c r="B4457" s="29"/>
    </row>
    <row r="4458" spans="2:2" x14ac:dyDescent="0.35">
      <c r="B4458" s="29"/>
    </row>
    <row r="4459" spans="2:2" x14ac:dyDescent="0.35">
      <c r="B4459" s="29"/>
    </row>
    <row r="4460" spans="2:2" x14ac:dyDescent="0.35">
      <c r="B4460" s="29"/>
    </row>
    <row r="4461" spans="2:2" x14ac:dyDescent="0.35">
      <c r="B4461" s="29"/>
    </row>
    <row r="4462" spans="2:2" x14ac:dyDescent="0.35">
      <c r="B4462" s="29"/>
    </row>
    <row r="4463" spans="2:2" x14ac:dyDescent="0.35">
      <c r="B4463" s="29"/>
    </row>
    <row r="4464" spans="2:2" x14ac:dyDescent="0.35">
      <c r="B4464" s="29"/>
    </row>
    <row r="4465" spans="2:2" x14ac:dyDescent="0.35">
      <c r="B4465" s="29"/>
    </row>
    <row r="4466" spans="2:2" x14ac:dyDescent="0.35">
      <c r="B4466" s="29"/>
    </row>
    <row r="4467" spans="2:2" x14ac:dyDescent="0.35">
      <c r="B4467" s="29"/>
    </row>
    <row r="4468" spans="2:2" x14ac:dyDescent="0.35">
      <c r="B4468" s="29"/>
    </row>
    <row r="4469" spans="2:2" x14ac:dyDescent="0.35">
      <c r="B4469" s="29"/>
    </row>
    <row r="4470" spans="2:2" x14ac:dyDescent="0.35">
      <c r="B4470" s="29"/>
    </row>
    <row r="4471" spans="2:2" x14ac:dyDescent="0.35">
      <c r="B4471" s="29"/>
    </row>
    <row r="4472" spans="2:2" x14ac:dyDescent="0.35">
      <c r="B4472" s="29"/>
    </row>
    <row r="4473" spans="2:2" x14ac:dyDescent="0.35">
      <c r="B4473" s="29"/>
    </row>
    <row r="4474" spans="2:2" x14ac:dyDescent="0.35">
      <c r="B4474" s="29"/>
    </row>
    <row r="4475" spans="2:2" x14ac:dyDescent="0.35">
      <c r="B4475" s="29"/>
    </row>
    <row r="4476" spans="2:2" x14ac:dyDescent="0.35">
      <c r="B4476" s="29"/>
    </row>
    <row r="4477" spans="2:2" x14ac:dyDescent="0.35">
      <c r="B4477" s="29"/>
    </row>
    <row r="4478" spans="2:2" x14ac:dyDescent="0.35">
      <c r="B4478" s="29"/>
    </row>
    <row r="4479" spans="2:2" x14ac:dyDescent="0.35">
      <c r="B4479" s="29"/>
    </row>
    <row r="4480" spans="2:2" x14ac:dyDescent="0.35">
      <c r="B4480" s="29"/>
    </row>
    <row r="4481" spans="2:2" x14ac:dyDescent="0.35">
      <c r="B4481" s="29"/>
    </row>
    <row r="4482" spans="2:2" x14ac:dyDescent="0.35">
      <c r="B4482" s="29"/>
    </row>
    <row r="4483" spans="2:2" x14ac:dyDescent="0.35">
      <c r="B4483" s="29"/>
    </row>
    <row r="4484" spans="2:2" x14ac:dyDescent="0.35">
      <c r="B4484" s="29"/>
    </row>
    <row r="4485" spans="2:2" x14ac:dyDescent="0.35">
      <c r="B4485" s="29"/>
    </row>
    <row r="4486" spans="2:2" x14ac:dyDescent="0.35">
      <c r="B4486" s="29"/>
    </row>
    <row r="4487" spans="2:2" x14ac:dyDescent="0.35">
      <c r="B4487" s="29"/>
    </row>
    <row r="4488" spans="2:2" x14ac:dyDescent="0.35">
      <c r="B4488" s="29"/>
    </row>
    <row r="4489" spans="2:2" x14ac:dyDescent="0.35">
      <c r="B4489" s="29"/>
    </row>
    <row r="4490" spans="2:2" x14ac:dyDescent="0.35">
      <c r="B4490" s="29"/>
    </row>
    <row r="4491" spans="2:2" x14ac:dyDescent="0.35">
      <c r="B4491" s="29"/>
    </row>
    <row r="4492" spans="2:2" x14ac:dyDescent="0.35">
      <c r="B4492" s="29"/>
    </row>
    <row r="4493" spans="2:2" x14ac:dyDescent="0.35">
      <c r="B4493" s="29"/>
    </row>
    <row r="4494" spans="2:2" x14ac:dyDescent="0.35">
      <c r="B4494" s="29"/>
    </row>
    <row r="4495" spans="2:2" x14ac:dyDescent="0.35">
      <c r="B4495" s="29"/>
    </row>
    <row r="4496" spans="2:2" x14ac:dyDescent="0.35">
      <c r="B4496" s="29"/>
    </row>
    <row r="4497" spans="2:2" x14ac:dyDescent="0.35">
      <c r="B4497" s="29"/>
    </row>
    <row r="4498" spans="2:2" x14ac:dyDescent="0.35">
      <c r="B4498" s="29"/>
    </row>
    <row r="4499" spans="2:2" x14ac:dyDescent="0.35">
      <c r="B4499" s="29"/>
    </row>
    <row r="4500" spans="2:2" x14ac:dyDescent="0.35">
      <c r="B4500" s="29"/>
    </row>
    <row r="4501" spans="2:2" x14ac:dyDescent="0.35">
      <c r="B4501" s="29"/>
    </row>
    <row r="4502" spans="2:2" x14ac:dyDescent="0.35">
      <c r="B4502" s="29"/>
    </row>
    <row r="4503" spans="2:2" x14ac:dyDescent="0.35">
      <c r="B4503" s="29"/>
    </row>
    <row r="4504" spans="2:2" x14ac:dyDescent="0.35">
      <c r="B4504" s="29"/>
    </row>
    <row r="4505" spans="2:2" x14ac:dyDescent="0.35">
      <c r="B4505" s="29"/>
    </row>
    <row r="4506" spans="2:2" x14ac:dyDescent="0.35">
      <c r="B4506" s="29"/>
    </row>
    <row r="4507" spans="2:2" x14ac:dyDescent="0.35">
      <c r="B4507" s="29"/>
    </row>
    <row r="4508" spans="2:2" x14ac:dyDescent="0.35">
      <c r="B4508" s="29"/>
    </row>
    <row r="4509" spans="2:2" x14ac:dyDescent="0.35">
      <c r="B4509" s="29"/>
    </row>
    <row r="4510" spans="2:2" x14ac:dyDescent="0.35">
      <c r="B4510" s="29"/>
    </row>
    <row r="4511" spans="2:2" x14ac:dyDescent="0.35">
      <c r="B4511" s="29"/>
    </row>
    <row r="4512" spans="2:2" x14ac:dyDescent="0.35">
      <c r="B4512" s="29"/>
    </row>
    <row r="4513" spans="2:2" x14ac:dyDescent="0.35">
      <c r="B4513" s="29"/>
    </row>
    <row r="4514" spans="2:2" x14ac:dyDescent="0.35">
      <c r="B4514" s="29"/>
    </row>
    <row r="4515" spans="2:2" x14ac:dyDescent="0.35">
      <c r="B4515" s="29"/>
    </row>
    <row r="4516" spans="2:2" x14ac:dyDescent="0.35">
      <c r="B4516" s="29"/>
    </row>
    <row r="4517" spans="2:2" x14ac:dyDescent="0.35">
      <c r="B4517" s="29"/>
    </row>
    <row r="4518" spans="2:2" x14ac:dyDescent="0.35">
      <c r="B4518" s="29"/>
    </row>
    <row r="4519" spans="2:2" x14ac:dyDescent="0.35">
      <c r="B4519" s="29"/>
    </row>
    <row r="4520" spans="2:2" x14ac:dyDescent="0.35">
      <c r="B4520" s="29"/>
    </row>
    <row r="4521" spans="2:2" x14ac:dyDescent="0.35">
      <c r="B4521" s="29"/>
    </row>
    <row r="4522" spans="2:2" x14ac:dyDescent="0.35">
      <c r="B4522" s="29"/>
    </row>
    <row r="4523" spans="2:2" x14ac:dyDescent="0.35">
      <c r="B4523" s="29"/>
    </row>
    <row r="4524" spans="2:2" x14ac:dyDescent="0.35">
      <c r="B4524" s="29"/>
    </row>
    <row r="4525" spans="2:2" x14ac:dyDescent="0.35">
      <c r="B4525" s="29"/>
    </row>
    <row r="4526" spans="2:2" x14ac:dyDescent="0.35">
      <c r="B4526" s="29"/>
    </row>
    <row r="4527" spans="2:2" x14ac:dyDescent="0.35">
      <c r="B4527" s="29"/>
    </row>
    <row r="4528" spans="2:2" x14ac:dyDescent="0.35">
      <c r="B4528" s="29"/>
    </row>
    <row r="4529" spans="2:2" x14ac:dyDescent="0.35">
      <c r="B4529" s="29"/>
    </row>
    <row r="4530" spans="2:2" x14ac:dyDescent="0.35">
      <c r="B4530" s="29"/>
    </row>
    <row r="4531" spans="2:2" x14ac:dyDescent="0.35">
      <c r="B4531" s="29"/>
    </row>
    <row r="4532" spans="2:2" x14ac:dyDescent="0.35">
      <c r="B4532" s="29"/>
    </row>
    <row r="4533" spans="2:2" x14ac:dyDescent="0.35">
      <c r="B4533" s="29"/>
    </row>
    <row r="4534" spans="2:2" x14ac:dyDescent="0.35">
      <c r="B4534" s="29"/>
    </row>
    <row r="4535" spans="2:2" x14ac:dyDescent="0.35">
      <c r="B4535" s="29"/>
    </row>
    <row r="4536" spans="2:2" x14ac:dyDescent="0.35">
      <c r="B4536" s="29"/>
    </row>
    <row r="4537" spans="2:2" x14ac:dyDescent="0.35">
      <c r="B4537" s="29"/>
    </row>
    <row r="4538" spans="2:2" x14ac:dyDescent="0.35">
      <c r="B4538" s="29"/>
    </row>
    <row r="4539" spans="2:2" x14ac:dyDescent="0.35">
      <c r="B4539" s="29"/>
    </row>
    <row r="4540" spans="2:2" x14ac:dyDescent="0.35">
      <c r="B4540" s="29"/>
    </row>
    <row r="4541" spans="2:2" x14ac:dyDescent="0.35">
      <c r="B4541" s="29"/>
    </row>
    <row r="4542" spans="2:2" x14ac:dyDescent="0.35">
      <c r="B4542" s="29"/>
    </row>
    <row r="4543" spans="2:2" x14ac:dyDescent="0.35">
      <c r="B4543" s="29"/>
    </row>
    <row r="4544" spans="2:2" x14ac:dyDescent="0.35">
      <c r="B4544" s="29"/>
    </row>
    <row r="4545" spans="2:2" x14ac:dyDescent="0.35">
      <c r="B4545" s="29"/>
    </row>
    <row r="4546" spans="2:2" x14ac:dyDescent="0.35">
      <c r="B4546" s="29"/>
    </row>
    <row r="4547" spans="2:2" x14ac:dyDescent="0.35">
      <c r="B4547" s="29"/>
    </row>
    <row r="4548" spans="2:2" x14ac:dyDescent="0.35">
      <c r="B4548" s="29"/>
    </row>
    <row r="4549" spans="2:2" x14ac:dyDescent="0.35">
      <c r="B4549" s="29"/>
    </row>
    <row r="4550" spans="2:2" x14ac:dyDescent="0.35">
      <c r="B4550" s="29"/>
    </row>
    <row r="4551" spans="2:2" x14ac:dyDescent="0.35">
      <c r="B4551" s="29"/>
    </row>
    <row r="4552" spans="2:2" x14ac:dyDescent="0.35">
      <c r="B4552" s="29"/>
    </row>
    <row r="4553" spans="2:2" x14ac:dyDescent="0.35">
      <c r="B4553" s="29"/>
    </row>
    <row r="4554" spans="2:2" x14ac:dyDescent="0.35">
      <c r="B4554" s="29"/>
    </row>
    <row r="4555" spans="2:2" x14ac:dyDescent="0.35">
      <c r="B4555" s="29"/>
    </row>
    <row r="4556" spans="2:2" x14ac:dyDescent="0.35">
      <c r="B4556" s="29"/>
    </row>
    <row r="4557" spans="2:2" x14ac:dyDescent="0.35">
      <c r="B4557" s="29"/>
    </row>
    <row r="4558" spans="2:2" x14ac:dyDescent="0.35">
      <c r="B4558" s="29"/>
    </row>
    <row r="4559" spans="2:2" x14ac:dyDescent="0.35">
      <c r="B4559" s="29"/>
    </row>
    <row r="4560" spans="2:2" x14ac:dyDescent="0.35">
      <c r="B4560" s="29"/>
    </row>
    <row r="4561" spans="2:2" x14ac:dyDescent="0.35">
      <c r="B4561" s="29"/>
    </row>
    <row r="4562" spans="2:2" x14ac:dyDescent="0.35">
      <c r="B4562" s="29"/>
    </row>
    <row r="4563" spans="2:2" x14ac:dyDescent="0.35">
      <c r="B4563" s="29"/>
    </row>
    <row r="4564" spans="2:2" x14ac:dyDescent="0.35">
      <c r="B4564" s="29"/>
    </row>
    <row r="4565" spans="2:2" x14ac:dyDescent="0.35">
      <c r="B4565" s="29"/>
    </row>
    <row r="4566" spans="2:2" x14ac:dyDescent="0.35">
      <c r="B4566" s="29"/>
    </row>
    <row r="4567" spans="2:2" x14ac:dyDescent="0.35">
      <c r="B4567" s="29"/>
    </row>
    <row r="4568" spans="2:2" x14ac:dyDescent="0.35">
      <c r="B4568" s="29"/>
    </row>
    <row r="4569" spans="2:2" x14ac:dyDescent="0.35">
      <c r="B4569" s="29"/>
    </row>
    <row r="4570" spans="2:2" x14ac:dyDescent="0.35">
      <c r="B4570" s="29"/>
    </row>
    <row r="4571" spans="2:2" x14ac:dyDescent="0.35">
      <c r="B4571" s="29"/>
    </row>
    <row r="4572" spans="2:2" x14ac:dyDescent="0.35">
      <c r="B4572" s="29"/>
    </row>
    <row r="4573" spans="2:2" x14ac:dyDescent="0.35">
      <c r="B4573" s="29"/>
    </row>
    <row r="4574" spans="2:2" x14ac:dyDescent="0.35">
      <c r="B4574" s="29"/>
    </row>
    <row r="4575" spans="2:2" x14ac:dyDescent="0.35">
      <c r="B4575" s="29"/>
    </row>
    <row r="4576" spans="2:2" x14ac:dyDescent="0.35">
      <c r="B4576" s="29"/>
    </row>
    <row r="4577" spans="2:2" x14ac:dyDescent="0.35">
      <c r="B4577" s="29"/>
    </row>
    <row r="4578" spans="2:2" x14ac:dyDescent="0.35">
      <c r="B4578" s="29"/>
    </row>
    <row r="4579" spans="2:2" x14ac:dyDescent="0.35">
      <c r="B4579" s="29"/>
    </row>
    <row r="4580" spans="2:2" x14ac:dyDescent="0.35">
      <c r="B4580" s="29"/>
    </row>
    <row r="4581" spans="2:2" x14ac:dyDescent="0.35">
      <c r="B4581" s="29"/>
    </row>
    <row r="4582" spans="2:2" x14ac:dyDescent="0.35">
      <c r="B4582" s="29"/>
    </row>
    <row r="4583" spans="2:2" x14ac:dyDescent="0.35">
      <c r="B4583" s="29"/>
    </row>
    <row r="4584" spans="2:2" x14ac:dyDescent="0.35">
      <c r="B4584" s="29"/>
    </row>
    <row r="4585" spans="2:2" x14ac:dyDescent="0.35">
      <c r="B4585" s="29"/>
    </row>
    <row r="4586" spans="2:2" x14ac:dyDescent="0.35">
      <c r="B4586" s="29"/>
    </row>
    <row r="4587" spans="2:2" x14ac:dyDescent="0.35">
      <c r="B4587" s="29"/>
    </row>
    <row r="4588" spans="2:2" x14ac:dyDescent="0.35">
      <c r="B4588" s="29"/>
    </row>
    <row r="4589" spans="2:2" ht="15.5" thickBot="1" x14ac:dyDescent="0.4">
      <c r="B4589" s="3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B72F8-5A10-4D2B-80A3-687E1BF522EE}">
  <sheetPr>
    <tabColor theme="3" tint="0.59999389629810485"/>
  </sheetPr>
  <dimension ref="A2:J18"/>
  <sheetViews>
    <sheetView zoomScaleNormal="100" workbookViewId="0">
      <selection activeCell="G16" sqref="G16"/>
    </sheetView>
  </sheetViews>
  <sheetFormatPr defaultColWidth="8.81640625" defaultRowHeight="14.5" x14ac:dyDescent="0.35"/>
  <cols>
    <col min="1" max="1" width="8.81640625" style="40"/>
    <col min="2" max="2" width="15.1796875" style="40" bestFit="1" customWidth="1"/>
    <col min="3" max="3" width="20.36328125" style="40" bestFit="1" customWidth="1"/>
    <col min="4" max="4" width="22.1796875" style="40" bestFit="1" customWidth="1"/>
    <col min="5" max="5" width="16.1796875" style="40" bestFit="1" customWidth="1"/>
    <col min="6" max="6" width="8.81640625" style="40"/>
    <col min="7" max="7" width="15.1796875" style="40" bestFit="1" customWidth="1"/>
    <col min="8" max="8" width="20.36328125" style="40" bestFit="1" customWidth="1"/>
    <col min="9" max="9" width="22.1796875" style="40" bestFit="1" customWidth="1"/>
    <col min="10" max="10" width="16.1796875" style="40" bestFit="1" customWidth="1"/>
    <col min="11" max="16384" width="8.81640625" style="40"/>
  </cols>
  <sheetData>
    <row r="2" spans="1:10" ht="15" x14ac:dyDescent="0.35">
      <c r="B2" s="14" t="s">
        <v>132</v>
      </c>
    </row>
    <row r="3" spans="1:10" ht="15" x14ac:dyDescent="0.35">
      <c r="B3" s="14"/>
    </row>
    <row r="4" spans="1:10" x14ac:dyDescent="0.35">
      <c r="B4" s="40" t="s">
        <v>133</v>
      </c>
    </row>
    <row r="6" spans="1:10" x14ac:dyDescent="0.35">
      <c r="C6" s="40" t="s">
        <v>134</v>
      </c>
      <c r="H6" s="40" t="s">
        <v>135</v>
      </c>
    </row>
    <row r="7" spans="1:10" ht="46.5" x14ac:dyDescent="0.35">
      <c r="B7" s="41"/>
      <c r="C7" s="42" t="s">
        <v>136</v>
      </c>
      <c r="D7" s="42" t="s">
        <v>137</v>
      </c>
      <c r="E7" s="43" t="s">
        <v>138</v>
      </c>
      <c r="G7" s="41"/>
      <c r="H7" s="42" t="s">
        <v>136</v>
      </c>
      <c r="I7" s="42" t="s">
        <v>137</v>
      </c>
      <c r="J7" s="43" t="s">
        <v>138</v>
      </c>
    </row>
    <row r="8" spans="1:10" ht="15" x14ac:dyDescent="0.35">
      <c r="B8" s="44" t="s">
        <v>139</v>
      </c>
      <c r="C8" s="45"/>
      <c r="D8" s="45"/>
      <c r="E8" s="46" t="e">
        <f>D8/D10</f>
        <v>#DIV/0!</v>
      </c>
      <c r="G8" s="44" t="s">
        <v>139</v>
      </c>
      <c r="H8" s="45"/>
      <c r="I8" s="45"/>
      <c r="J8" s="46" t="e">
        <f>I8/I10</f>
        <v>#DIV/0!</v>
      </c>
    </row>
    <row r="9" spans="1:10" ht="15" x14ac:dyDescent="0.35">
      <c r="B9" s="44" t="s">
        <v>140</v>
      </c>
      <c r="C9" s="45"/>
      <c r="D9" s="45"/>
      <c r="E9" s="46" t="e">
        <f>D9/D10</f>
        <v>#DIV/0!</v>
      </c>
      <c r="G9" s="44" t="s">
        <v>140</v>
      </c>
      <c r="H9" s="45"/>
      <c r="I9" s="45"/>
      <c r="J9" s="46" t="e">
        <f>I9/I10</f>
        <v>#DIV/0!</v>
      </c>
    </row>
    <row r="10" spans="1:10" ht="15" x14ac:dyDescent="0.35">
      <c r="B10" s="47" t="s">
        <v>141</v>
      </c>
      <c r="C10" s="48">
        <f>SUM(C8:C9)</f>
        <v>0</v>
      </c>
      <c r="D10" s="48">
        <f t="shared" ref="D10:E10" si="0">SUM(D8:D9)</f>
        <v>0</v>
      </c>
      <c r="E10" s="46" t="e">
        <f t="shared" si="0"/>
        <v>#DIV/0!</v>
      </c>
      <c r="G10" s="47" t="s">
        <v>141</v>
      </c>
      <c r="H10" s="48">
        <f>SUM(H8:H9)</f>
        <v>0</v>
      </c>
      <c r="I10" s="48">
        <f t="shared" ref="I10:J10" si="1">SUM(I8:I9)</f>
        <v>0</v>
      </c>
      <c r="J10" s="46" t="e">
        <f t="shared" si="1"/>
        <v>#DIV/0!</v>
      </c>
    </row>
    <row r="13" spans="1:10" ht="15.5" x14ac:dyDescent="0.35">
      <c r="A13" s="49" t="s">
        <v>142</v>
      </c>
    </row>
    <row r="14" spans="1:10" ht="15.5" x14ac:dyDescent="0.35">
      <c r="A14" s="50" t="s">
        <v>143</v>
      </c>
    </row>
    <row r="15" spans="1:10" ht="15.5" x14ac:dyDescent="0.35">
      <c r="A15" s="50" t="s">
        <v>144</v>
      </c>
    </row>
    <row r="16" spans="1:10" ht="15.5" x14ac:dyDescent="0.35">
      <c r="A16" s="50" t="s">
        <v>145</v>
      </c>
    </row>
    <row r="17" spans="1:1" ht="15.5" x14ac:dyDescent="0.35">
      <c r="A17" s="51" t="s">
        <v>146</v>
      </c>
    </row>
    <row r="18" spans="1:1" ht="15.5" x14ac:dyDescent="0.35">
      <c r="A18" s="51" t="s">
        <v>147</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tabColor theme="3" tint="0.59999389629810485"/>
  </sheetPr>
  <dimension ref="B1:F7142"/>
  <sheetViews>
    <sheetView zoomScaleNormal="100" zoomScalePageLayoutView="90" workbookViewId="0">
      <selection activeCell="C8" sqref="C8"/>
    </sheetView>
  </sheetViews>
  <sheetFormatPr defaultColWidth="15.54296875" defaultRowHeight="14" x14ac:dyDescent="0.3"/>
  <cols>
    <col min="1" max="1" width="4.1796875" style="1" customWidth="1"/>
    <col min="2" max="2" width="20.81640625" style="4" customWidth="1"/>
    <col min="3" max="3" width="64" style="4" customWidth="1"/>
    <col min="4" max="4" width="20.453125" style="4" customWidth="1"/>
    <col min="5" max="6" width="15.54296875" style="4" customWidth="1"/>
    <col min="7" max="7" width="15.54296875" style="1" customWidth="1"/>
    <col min="8" max="16384" width="15.54296875" style="1"/>
  </cols>
  <sheetData>
    <row r="1" spans="2:6" x14ac:dyDescent="0.3">
      <c r="B1" s="2"/>
      <c r="C1" s="2"/>
      <c r="D1" s="2"/>
      <c r="E1" s="1"/>
      <c r="F1" s="1"/>
    </row>
    <row r="2" spans="2:6" ht="15.5" x14ac:dyDescent="0.35">
      <c r="B2" s="7" t="s">
        <v>56</v>
      </c>
      <c r="C2" s="2"/>
      <c r="D2" s="2"/>
      <c r="E2" s="1"/>
      <c r="F2" s="1"/>
    </row>
    <row r="3" spans="2:6" ht="26" x14ac:dyDescent="0.3">
      <c r="B3" s="8" t="s">
        <v>9</v>
      </c>
      <c r="C3" s="9" t="s">
        <v>12</v>
      </c>
      <c r="D3" s="9" t="s">
        <v>60</v>
      </c>
      <c r="E3" s="9" t="s">
        <v>1</v>
      </c>
      <c r="F3" s="8" t="s">
        <v>81</v>
      </c>
    </row>
    <row r="4" spans="2:6" ht="25" x14ac:dyDescent="0.3">
      <c r="B4" s="4" t="s">
        <v>10</v>
      </c>
      <c r="C4" s="3" t="s">
        <v>106</v>
      </c>
      <c r="D4" s="3" t="s">
        <v>65</v>
      </c>
      <c r="E4" s="5"/>
      <c r="F4" s="5"/>
    </row>
    <row r="5" spans="2:6" x14ac:dyDescent="0.3">
      <c r="C5" s="12" t="s">
        <v>33</v>
      </c>
      <c r="D5" s="3"/>
      <c r="E5" s="5"/>
      <c r="F5" s="5"/>
    </row>
    <row r="6" spans="2:6" x14ac:dyDescent="0.3">
      <c r="C6" s="12" t="s">
        <v>34</v>
      </c>
      <c r="D6" s="3"/>
      <c r="E6" s="5"/>
      <c r="F6" s="5"/>
    </row>
    <row r="7" spans="2:6" ht="25" x14ac:dyDescent="0.3">
      <c r="C7" s="3" t="s">
        <v>35</v>
      </c>
      <c r="D7" s="3"/>
      <c r="E7" s="5"/>
      <c r="F7" s="5"/>
    </row>
    <row r="8" spans="2:6" x14ac:dyDescent="0.3">
      <c r="C8" s="3" t="s">
        <v>36</v>
      </c>
      <c r="D8" s="3"/>
      <c r="E8" s="5"/>
      <c r="F8" s="5"/>
    </row>
    <row r="9" spans="2:6" x14ac:dyDescent="0.3">
      <c r="C9" s="3" t="s">
        <v>59</v>
      </c>
      <c r="D9" s="3"/>
      <c r="E9" s="5"/>
      <c r="F9" s="5"/>
    </row>
    <row r="10" spans="2:6" x14ac:dyDescent="0.3">
      <c r="C10" s="3" t="s">
        <v>37</v>
      </c>
      <c r="D10" s="3"/>
      <c r="E10" s="5"/>
      <c r="F10" s="5"/>
    </row>
    <row r="11" spans="2:6" ht="25" x14ac:dyDescent="0.3">
      <c r="C11" s="10" t="s">
        <v>38</v>
      </c>
      <c r="D11" s="3"/>
      <c r="E11" s="5"/>
      <c r="F11" s="5"/>
    </row>
    <row r="12" spans="2:6" x14ac:dyDescent="0.3">
      <c r="C12" s="10" t="s">
        <v>39</v>
      </c>
      <c r="D12" s="3"/>
      <c r="E12" s="5"/>
      <c r="F12" s="5"/>
    </row>
    <row r="13" spans="2:6" x14ac:dyDescent="0.3">
      <c r="C13" s="10" t="s">
        <v>40</v>
      </c>
      <c r="D13" s="3"/>
      <c r="E13" s="5"/>
      <c r="F13" s="5"/>
    </row>
    <row r="14" spans="2:6" ht="37.5" x14ac:dyDescent="0.3">
      <c r="C14" s="10" t="s">
        <v>41</v>
      </c>
      <c r="D14" s="3"/>
      <c r="E14" s="5"/>
      <c r="F14" s="5"/>
    </row>
    <row r="15" spans="2:6" ht="37.5" x14ac:dyDescent="0.3">
      <c r="C15" s="10" t="s">
        <v>42</v>
      </c>
      <c r="D15" s="3"/>
      <c r="E15" s="5"/>
      <c r="F15" s="5"/>
    </row>
    <row r="16" spans="2:6" ht="25" x14ac:dyDescent="0.3">
      <c r="C16" s="10" t="s">
        <v>43</v>
      </c>
      <c r="D16" s="3"/>
      <c r="E16" s="5"/>
      <c r="F16" s="5"/>
    </row>
    <row r="17" spans="3:6" ht="25" x14ac:dyDescent="0.3">
      <c r="C17" s="6" t="s">
        <v>70</v>
      </c>
      <c r="D17" s="6"/>
      <c r="E17" s="5"/>
      <c r="F17" s="5"/>
    </row>
    <row r="18" spans="3:6" ht="25" x14ac:dyDescent="0.3">
      <c r="C18" s="6" t="s">
        <v>71</v>
      </c>
      <c r="D18" s="6"/>
      <c r="E18" s="5"/>
      <c r="F18" s="5"/>
    </row>
    <row r="19" spans="3:6" x14ac:dyDescent="0.3">
      <c r="C19" s="6" t="s">
        <v>72</v>
      </c>
      <c r="D19" s="6"/>
      <c r="E19" s="5"/>
      <c r="F19" s="5"/>
    </row>
    <row r="20" spans="3:6" x14ac:dyDescent="0.3">
      <c r="C20" s="6" t="s">
        <v>73</v>
      </c>
      <c r="D20" s="6"/>
      <c r="E20" s="5"/>
      <c r="F20" s="5"/>
    </row>
    <row r="21" spans="3:6" x14ac:dyDescent="0.3">
      <c r="C21" s="6" t="s">
        <v>44</v>
      </c>
      <c r="D21" s="6"/>
      <c r="E21" s="5"/>
      <c r="F21" s="5"/>
    </row>
    <row r="22" spans="3:6" x14ac:dyDescent="0.3">
      <c r="C22" s="6" t="s">
        <v>45</v>
      </c>
      <c r="D22" s="6"/>
      <c r="E22" s="5"/>
      <c r="F22" s="5"/>
    </row>
    <row r="23" spans="3:6" x14ac:dyDescent="0.3">
      <c r="C23" s="6" t="s">
        <v>46</v>
      </c>
      <c r="D23" s="6"/>
      <c r="E23" s="5"/>
      <c r="F23" s="5"/>
    </row>
    <row r="24" spans="3:6" x14ac:dyDescent="0.3">
      <c r="C24" s="6" t="s">
        <v>47</v>
      </c>
      <c r="D24" s="6"/>
      <c r="E24" s="5"/>
      <c r="F24" s="5"/>
    </row>
    <row r="25" spans="3:6" ht="25" x14ac:dyDescent="0.3">
      <c r="C25" s="6" t="s">
        <v>2</v>
      </c>
      <c r="D25" s="6"/>
      <c r="E25" s="5"/>
      <c r="F25" s="5"/>
    </row>
    <row r="26" spans="3:6" x14ac:dyDescent="0.3">
      <c r="C26" s="3" t="s">
        <v>3</v>
      </c>
      <c r="D26" s="3"/>
      <c r="E26" s="5"/>
      <c r="F26" s="5"/>
    </row>
    <row r="27" spans="3:6" x14ac:dyDescent="0.3">
      <c r="C27" s="3" t="s">
        <v>4</v>
      </c>
      <c r="D27" s="3"/>
      <c r="E27" s="5"/>
      <c r="F27" s="5"/>
    </row>
    <row r="28" spans="3:6" x14ac:dyDescent="0.3">
      <c r="C28" s="3" t="s">
        <v>5</v>
      </c>
      <c r="D28" s="3"/>
      <c r="E28" s="5"/>
      <c r="F28" s="5"/>
    </row>
    <row r="29" spans="3:6" x14ac:dyDescent="0.3">
      <c r="C29" s="3" t="s">
        <v>6</v>
      </c>
      <c r="D29" s="3"/>
      <c r="E29" s="5"/>
      <c r="F29" s="5"/>
    </row>
    <row r="30" spans="3:6" x14ac:dyDescent="0.3">
      <c r="C30" s="11" t="s">
        <v>48</v>
      </c>
      <c r="E30" s="5"/>
      <c r="F30" s="5"/>
    </row>
    <row r="31" spans="3:6" ht="25" x14ac:dyDescent="0.3">
      <c r="C31" s="11" t="s">
        <v>49</v>
      </c>
      <c r="E31" s="5"/>
      <c r="F31" s="5"/>
    </row>
    <row r="32" spans="3:6" x14ac:dyDescent="0.3">
      <c r="C32" s="11" t="s">
        <v>50</v>
      </c>
      <c r="E32" s="5"/>
      <c r="F32" s="5"/>
    </row>
    <row r="33" spans="2:6" x14ac:dyDescent="0.3">
      <c r="C33" s="11" t="s">
        <v>51</v>
      </c>
      <c r="E33" s="5"/>
      <c r="F33" s="5"/>
    </row>
    <row r="34" spans="2:6" x14ac:dyDescent="0.3">
      <c r="C34" s="11" t="s">
        <v>52</v>
      </c>
      <c r="E34" s="5"/>
      <c r="F34" s="5"/>
    </row>
    <row r="35" spans="2:6" x14ac:dyDescent="0.3">
      <c r="C35" s="11" t="s">
        <v>53</v>
      </c>
      <c r="E35" s="5"/>
      <c r="F35" s="5"/>
    </row>
    <row r="36" spans="2:6" x14ac:dyDescent="0.3">
      <c r="C36" s="11" t="s">
        <v>54</v>
      </c>
      <c r="E36" s="5"/>
      <c r="F36" s="5"/>
    </row>
    <row r="37" spans="2:6" ht="25" x14ac:dyDescent="0.3">
      <c r="C37" s="11" t="s">
        <v>55</v>
      </c>
      <c r="E37" s="5"/>
      <c r="F37" s="5"/>
    </row>
    <row r="38" spans="2:6" x14ac:dyDescent="0.3">
      <c r="B38" s="1"/>
      <c r="C38" s="1"/>
      <c r="D38" s="1"/>
      <c r="E38" s="1"/>
      <c r="F38" s="1"/>
    </row>
    <row r="39" spans="2:6" x14ac:dyDescent="0.3">
      <c r="B39" s="1"/>
      <c r="C39" s="1"/>
      <c r="D39" s="1"/>
      <c r="E39" s="1"/>
      <c r="F39" s="1"/>
    </row>
    <row r="40" spans="2:6" x14ac:dyDescent="0.3">
      <c r="B40" s="1"/>
      <c r="C40" s="1"/>
      <c r="D40" s="1"/>
      <c r="E40" s="1"/>
      <c r="F40" s="1"/>
    </row>
    <row r="41" spans="2:6" x14ac:dyDescent="0.3">
      <c r="B41" s="1"/>
      <c r="C41" s="1"/>
      <c r="D41" s="1"/>
      <c r="E41" s="1"/>
      <c r="F41" s="1"/>
    </row>
    <row r="42" spans="2:6" x14ac:dyDescent="0.3">
      <c r="B42" s="1"/>
      <c r="C42" s="1"/>
      <c r="D42" s="1"/>
      <c r="E42" s="1"/>
      <c r="F42" s="1"/>
    </row>
    <row r="43" spans="2:6" x14ac:dyDescent="0.3">
      <c r="B43" s="1"/>
      <c r="C43" s="1"/>
      <c r="D43" s="1"/>
      <c r="E43" s="1"/>
      <c r="F43" s="1"/>
    </row>
    <row r="44" spans="2:6" x14ac:dyDescent="0.3">
      <c r="B44" s="1"/>
      <c r="C44" s="1"/>
      <c r="D44" s="1"/>
      <c r="E44" s="1"/>
      <c r="F44" s="1"/>
    </row>
    <row r="45" spans="2:6" x14ac:dyDescent="0.3">
      <c r="B45" s="1"/>
      <c r="C45" s="1"/>
      <c r="D45" s="1"/>
      <c r="E45" s="1"/>
      <c r="F45" s="1"/>
    </row>
    <row r="46" spans="2:6" x14ac:dyDescent="0.3">
      <c r="B46" s="1"/>
      <c r="C46" s="1"/>
      <c r="D46" s="1"/>
      <c r="E46" s="1"/>
      <c r="F46" s="1"/>
    </row>
    <row r="47" spans="2:6" x14ac:dyDescent="0.3">
      <c r="B47" s="1"/>
      <c r="C47" s="1"/>
      <c r="D47" s="1"/>
      <c r="E47" s="1"/>
      <c r="F47" s="1"/>
    </row>
    <row r="48" spans="2:6" x14ac:dyDescent="0.3">
      <c r="B48" s="1"/>
      <c r="C48" s="1"/>
      <c r="D48" s="1"/>
      <c r="E48" s="1"/>
      <c r="F48" s="1"/>
    </row>
    <row r="49" s="1" customFormat="1" x14ac:dyDescent="0.3"/>
    <row r="50" s="1" customFormat="1" x14ac:dyDescent="0.3"/>
    <row r="51" s="1" customFormat="1" x14ac:dyDescent="0.3"/>
    <row r="52" s="1" customFormat="1" x14ac:dyDescent="0.3"/>
    <row r="53" s="1" customFormat="1" x14ac:dyDescent="0.3"/>
    <row r="54" s="1" customFormat="1" x14ac:dyDescent="0.3"/>
    <row r="55" s="1" customFormat="1" x14ac:dyDescent="0.3"/>
    <row r="56" s="1" customFormat="1" x14ac:dyDescent="0.3"/>
    <row r="57" s="1" customFormat="1" x14ac:dyDescent="0.3"/>
    <row r="58" s="1" customFormat="1" x14ac:dyDescent="0.3"/>
    <row r="59" s="1" customFormat="1" x14ac:dyDescent="0.3"/>
    <row r="60" s="1" customFormat="1" x14ac:dyDescent="0.3"/>
    <row r="61" s="1" customFormat="1" x14ac:dyDescent="0.3"/>
    <row r="62" s="1" customFormat="1" x14ac:dyDescent="0.3"/>
    <row r="63" s="1" customFormat="1" x14ac:dyDescent="0.3"/>
    <row r="64"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1" customFormat="1" x14ac:dyDescent="0.3"/>
    <row r="125" s="1" customFormat="1" x14ac:dyDescent="0.3"/>
    <row r="126" s="1" customFormat="1" x14ac:dyDescent="0.3"/>
    <row r="127" s="1" customFormat="1" x14ac:dyDescent="0.3"/>
    <row r="128" s="1" customFormat="1" x14ac:dyDescent="0.3"/>
    <row r="129" s="1" customFormat="1" x14ac:dyDescent="0.3"/>
    <row r="130" s="1" customFormat="1" x14ac:dyDescent="0.3"/>
    <row r="131" s="1" customFormat="1" x14ac:dyDescent="0.3"/>
    <row r="132" s="1" customFormat="1" x14ac:dyDescent="0.3"/>
    <row r="133" s="1" customFormat="1" x14ac:dyDescent="0.3"/>
    <row r="134" s="1" customFormat="1" x14ac:dyDescent="0.3"/>
    <row r="135" s="1" customFormat="1" x14ac:dyDescent="0.3"/>
    <row r="136" s="1" customFormat="1" x14ac:dyDescent="0.3"/>
    <row r="137" s="1" customFormat="1" x14ac:dyDescent="0.3"/>
    <row r="138" s="1" customFormat="1" x14ac:dyDescent="0.3"/>
    <row r="139" s="1" customFormat="1" x14ac:dyDescent="0.3"/>
    <row r="140" s="1" customFormat="1" x14ac:dyDescent="0.3"/>
    <row r="141" s="1" customFormat="1" x14ac:dyDescent="0.3"/>
    <row r="142" s="1" customFormat="1" x14ac:dyDescent="0.3"/>
    <row r="143" s="1" customFormat="1" x14ac:dyDescent="0.3"/>
    <row r="144" s="1" customFormat="1" x14ac:dyDescent="0.3"/>
    <row r="145" s="1" customFormat="1" x14ac:dyDescent="0.3"/>
    <row r="146" s="1" customFormat="1" x14ac:dyDescent="0.3"/>
    <row r="147" s="1" customFormat="1" x14ac:dyDescent="0.3"/>
    <row r="148" s="1" customFormat="1" x14ac:dyDescent="0.3"/>
    <row r="149" s="1" customFormat="1" x14ac:dyDescent="0.3"/>
    <row r="150" s="1" customFormat="1" x14ac:dyDescent="0.3"/>
    <row r="151" s="1" customFormat="1" x14ac:dyDescent="0.3"/>
    <row r="152" s="1" customFormat="1" x14ac:dyDescent="0.3"/>
    <row r="153" s="1" customFormat="1" x14ac:dyDescent="0.3"/>
    <row r="154" s="1" customFormat="1" x14ac:dyDescent="0.3"/>
    <row r="155" s="1" customFormat="1" x14ac:dyDescent="0.3"/>
    <row r="156" s="1" customFormat="1" x14ac:dyDescent="0.3"/>
    <row r="157" s="1" customFormat="1" x14ac:dyDescent="0.3"/>
    <row r="158" s="1" customFormat="1" x14ac:dyDescent="0.3"/>
    <row r="159" s="1" customFormat="1" x14ac:dyDescent="0.3"/>
    <row r="160" s="1" customFormat="1" x14ac:dyDescent="0.3"/>
    <row r="161" s="1" customFormat="1" x14ac:dyDescent="0.3"/>
    <row r="162" s="1" customFormat="1" x14ac:dyDescent="0.3"/>
    <row r="163" s="1" customFormat="1" x14ac:dyDescent="0.3"/>
    <row r="164" s="1" customFormat="1" x14ac:dyDescent="0.3"/>
    <row r="165" s="1" customFormat="1" x14ac:dyDescent="0.3"/>
    <row r="166" s="1" customFormat="1" x14ac:dyDescent="0.3"/>
    <row r="167" s="1" customFormat="1" x14ac:dyDescent="0.3"/>
    <row r="168" s="1" customFormat="1" x14ac:dyDescent="0.3"/>
    <row r="169" s="1" customFormat="1" x14ac:dyDescent="0.3"/>
    <row r="170" s="1" customFormat="1" x14ac:dyDescent="0.3"/>
    <row r="171" s="1" customFormat="1" x14ac:dyDescent="0.3"/>
    <row r="172" s="1" customFormat="1" x14ac:dyDescent="0.3"/>
    <row r="173" s="1" customFormat="1" x14ac:dyDescent="0.3"/>
    <row r="174" s="1" customFormat="1" x14ac:dyDescent="0.3"/>
    <row r="175" s="1" customFormat="1" x14ac:dyDescent="0.3"/>
    <row r="176" s="1" customFormat="1" x14ac:dyDescent="0.3"/>
    <row r="177" s="1" customFormat="1" x14ac:dyDescent="0.3"/>
    <row r="178" s="1" customFormat="1" x14ac:dyDescent="0.3"/>
    <row r="179" s="1" customFormat="1" x14ac:dyDescent="0.3"/>
    <row r="180" s="1" customFormat="1" x14ac:dyDescent="0.3"/>
    <row r="181" s="1" customFormat="1" x14ac:dyDescent="0.3"/>
    <row r="182" s="1" customFormat="1" x14ac:dyDescent="0.3"/>
    <row r="183" s="1" customFormat="1" x14ac:dyDescent="0.3"/>
    <row r="184" s="1" customFormat="1" x14ac:dyDescent="0.3"/>
    <row r="185" s="1" customFormat="1" x14ac:dyDescent="0.3"/>
    <row r="186" s="1" customFormat="1" x14ac:dyDescent="0.3"/>
    <row r="187" s="1" customFormat="1" x14ac:dyDescent="0.3"/>
    <row r="188" s="1" customFormat="1" x14ac:dyDescent="0.3"/>
    <row r="189" s="1" customFormat="1" x14ac:dyDescent="0.3"/>
    <row r="190" s="1" customFormat="1" x14ac:dyDescent="0.3"/>
    <row r="191" s="1" customFormat="1" x14ac:dyDescent="0.3"/>
    <row r="192" s="1" customFormat="1" x14ac:dyDescent="0.3"/>
    <row r="193" s="1" customFormat="1" x14ac:dyDescent="0.3"/>
    <row r="194" s="1" customFormat="1" x14ac:dyDescent="0.3"/>
    <row r="195" s="1" customFormat="1" x14ac:dyDescent="0.3"/>
    <row r="196" s="1" customFormat="1" x14ac:dyDescent="0.3"/>
    <row r="197" s="1" customFormat="1" x14ac:dyDescent="0.3"/>
    <row r="198" s="1" customFormat="1" x14ac:dyDescent="0.3"/>
    <row r="199" s="1" customFormat="1" x14ac:dyDescent="0.3"/>
    <row r="200" s="1" customFormat="1" x14ac:dyDescent="0.3"/>
    <row r="201" s="1" customFormat="1" x14ac:dyDescent="0.3"/>
    <row r="202" s="1" customFormat="1" x14ac:dyDescent="0.3"/>
    <row r="203" s="1" customFormat="1" x14ac:dyDescent="0.3"/>
    <row r="204" s="1" customFormat="1" x14ac:dyDescent="0.3"/>
    <row r="205" s="1" customFormat="1" x14ac:dyDescent="0.3"/>
    <row r="206" s="1" customFormat="1" x14ac:dyDescent="0.3"/>
    <row r="207" s="1" customFormat="1" x14ac:dyDescent="0.3"/>
    <row r="208" s="1" customFormat="1" x14ac:dyDescent="0.3"/>
    <row r="209" s="1" customFormat="1" x14ac:dyDescent="0.3"/>
    <row r="210" s="1" customFormat="1" x14ac:dyDescent="0.3"/>
    <row r="211" s="1" customFormat="1" x14ac:dyDescent="0.3"/>
    <row r="212" s="1" customFormat="1" x14ac:dyDescent="0.3"/>
    <row r="213" s="1" customFormat="1" x14ac:dyDescent="0.3"/>
    <row r="214" s="1" customFormat="1" x14ac:dyDescent="0.3"/>
    <row r="215" s="1" customFormat="1" x14ac:dyDescent="0.3"/>
    <row r="216" s="1" customFormat="1" x14ac:dyDescent="0.3"/>
    <row r="217" s="1" customFormat="1" x14ac:dyDescent="0.3"/>
    <row r="218" s="1" customFormat="1" x14ac:dyDescent="0.3"/>
    <row r="219" s="1" customFormat="1" x14ac:dyDescent="0.3"/>
    <row r="220" s="1" customFormat="1" x14ac:dyDescent="0.3"/>
    <row r="221" s="1" customFormat="1" x14ac:dyDescent="0.3"/>
    <row r="222" s="1" customFormat="1" x14ac:dyDescent="0.3"/>
    <row r="223" s="1" customFormat="1" x14ac:dyDescent="0.3"/>
    <row r="224" s="1" customFormat="1" x14ac:dyDescent="0.3"/>
    <row r="225" s="1" customFormat="1" x14ac:dyDescent="0.3"/>
    <row r="226" s="1" customFormat="1" x14ac:dyDescent="0.3"/>
    <row r="227" s="1" customFormat="1" x14ac:dyDescent="0.3"/>
    <row r="228" s="1" customFormat="1" x14ac:dyDescent="0.3"/>
    <row r="229" s="1" customFormat="1" x14ac:dyDescent="0.3"/>
    <row r="230" s="1" customFormat="1" x14ac:dyDescent="0.3"/>
    <row r="231" s="1" customFormat="1" x14ac:dyDescent="0.3"/>
    <row r="232" s="1" customFormat="1" x14ac:dyDescent="0.3"/>
    <row r="233" s="1" customFormat="1" x14ac:dyDescent="0.3"/>
    <row r="234" s="1" customFormat="1" x14ac:dyDescent="0.3"/>
    <row r="235" s="1" customFormat="1" x14ac:dyDescent="0.3"/>
    <row r="236" s="1" customFormat="1" x14ac:dyDescent="0.3"/>
    <row r="237" s="1" customFormat="1" x14ac:dyDescent="0.3"/>
    <row r="238" s="1" customFormat="1" x14ac:dyDescent="0.3"/>
    <row r="239" s="1" customFormat="1" x14ac:dyDescent="0.3"/>
    <row r="240" s="1" customFormat="1" x14ac:dyDescent="0.3"/>
    <row r="241" s="1" customFormat="1" x14ac:dyDescent="0.3"/>
    <row r="242" s="1" customFormat="1" x14ac:dyDescent="0.3"/>
    <row r="243" s="1" customFormat="1" x14ac:dyDescent="0.3"/>
    <row r="244" s="1" customFormat="1" x14ac:dyDescent="0.3"/>
    <row r="245" s="1" customFormat="1" x14ac:dyDescent="0.3"/>
    <row r="246" s="1" customFormat="1" x14ac:dyDescent="0.3"/>
    <row r="247" s="1" customFormat="1" x14ac:dyDescent="0.3"/>
    <row r="248" s="1" customFormat="1" x14ac:dyDescent="0.3"/>
    <row r="249" s="1" customFormat="1" x14ac:dyDescent="0.3"/>
    <row r="250" s="1" customFormat="1" x14ac:dyDescent="0.3"/>
    <row r="251" s="1" customFormat="1" x14ac:dyDescent="0.3"/>
    <row r="252" s="1" customFormat="1" x14ac:dyDescent="0.3"/>
    <row r="253" s="1" customFormat="1" x14ac:dyDescent="0.3"/>
    <row r="254" s="1" customFormat="1" x14ac:dyDescent="0.3"/>
    <row r="255" s="1" customFormat="1" x14ac:dyDescent="0.3"/>
    <row r="256" s="1" customFormat="1" x14ac:dyDescent="0.3"/>
    <row r="257" s="1" customFormat="1" x14ac:dyDescent="0.3"/>
    <row r="258" s="1" customFormat="1" x14ac:dyDescent="0.3"/>
    <row r="259" s="1" customFormat="1" x14ac:dyDescent="0.3"/>
    <row r="260" s="1" customFormat="1" x14ac:dyDescent="0.3"/>
    <row r="261" s="1" customFormat="1" x14ac:dyDescent="0.3"/>
    <row r="262" s="1" customFormat="1" x14ac:dyDescent="0.3"/>
    <row r="263" s="1" customFormat="1" x14ac:dyDescent="0.3"/>
    <row r="264" s="1" customFormat="1" x14ac:dyDescent="0.3"/>
    <row r="265" s="1" customFormat="1" x14ac:dyDescent="0.3"/>
    <row r="266" s="1" customFormat="1" x14ac:dyDescent="0.3"/>
    <row r="267" s="1" customFormat="1" x14ac:dyDescent="0.3"/>
    <row r="268" s="1" customFormat="1" x14ac:dyDescent="0.3"/>
    <row r="269" s="1" customFormat="1" x14ac:dyDescent="0.3"/>
    <row r="270" s="1" customFormat="1" x14ac:dyDescent="0.3"/>
    <row r="271" s="1" customFormat="1" x14ac:dyDescent="0.3"/>
    <row r="272" s="1" customFormat="1" x14ac:dyDescent="0.3"/>
    <row r="273" s="1" customFormat="1" x14ac:dyDescent="0.3"/>
    <row r="274" s="1" customFormat="1" x14ac:dyDescent="0.3"/>
    <row r="275" s="1" customFormat="1" x14ac:dyDescent="0.3"/>
    <row r="276" s="1" customFormat="1" x14ac:dyDescent="0.3"/>
    <row r="277" s="1" customFormat="1" x14ac:dyDescent="0.3"/>
    <row r="278" s="1" customFormat="1" x14ac:dyDescent="0.3"/>
    <row r="279" s="1" customFormat="1" x14ac:dyDescent="0.3"/>
    <row r="280" s="1" customFormat="1" x14ac:dyDescent="0.3"/>
    <row r="281" s="1" customFormat="1" x14ac:dyDescent="0.3"/>
    <row r="282" s="1" customFormat="1" x14ac:dyDescent="0.3"/>
    <row r="283" s="1" customFormat="1" x14ac:dyDescent="0.3"/>
    <row r="284" s="1" customFormat="1" x14ac:dyDescent="0.3"/>
    <row r="285" s="1" customFormat="1" x14ac:dyDescent="0.3"/>
    <row r="286" s="1" customFormat="1" x14ac:dyDescent="0.3"/>
    <row r="287" s="1" customFormat="1" x14ac:dyDescent="0.3"/>
    <row r="288" s="1" customFormat="1" x14ac:dyDescent="0.3"/>
    <row r="289" s="1" customFormat="1" x14ac:dyDescent="0.3"/>
    <row r="290" s="1" customFormat="1" x14ac:dyDescent="0.3"/>
    <row r="291" s="1" customFormat="1" x14ac:dyDescent="0.3"/>
    <row r="292" s="1" customFormat="1" x14ac:dyDescent="0.3"/>
    <row r="293" s="1" customFormat="1" x14ac:dyDescent="0.3"/>
    <row r="294" s="1" customFormat="1" x14ac:dyDescent="0.3"/>
    <row r="295" s="1" customFormat="1" x14ac:dyDescent="0.3"/>
    <row r="296" s="1" customFormat="1" x14ac:dyDescent="0.3"/>
    <row r="297" s="1" customFormat="1" x14ac:dyDescent="0.3"/>
    <row r="298" s="1" customFormat="1" x14ac:dyDescent="0.3"/>
    <row r="299" s="1" customFormat="1" x14ac:dyDescent="0.3"/>
    <row r="300" s="1" customFormat="1" x14ac:dyDescent="0.3"/>
    <row r="301" s="1" customFormat="1" x14ac:dyDescent="0.3"/>
    <row r="302" s="1" customFormat="1" x14ac:dyDescent="0.3"/>
    <row r="303" s="1" customFormat="1" x14ac:dyDescent="0.3"/>
    <row r="304" s="1" customFormat="1" x14ac:dyDescent="0.3"/>
    <row r="305" s="1" customFormat="1" x14ac:dyDescent="0.3"/>
    <row r="306" s="1" customFormat="1" x14ac:dyDescent="0.3"/>
    <row r="307" s="1" customFormat="1" x14ac:dyDescent="0.3"/>
    <row r="308" s="1" customFormat="1" x14ac:dyDescent="0.3"/>
    <row r="309" s="1" customFormat="1" x14ac:dyDescent="0.3"/>
    <row r="310" s="1" customFormat="1" x14ac:dyDescent="0.3"/>
    <row r="311" s="1" customFormat="1" x14ac:dyDescent="0.3"/>
    <row r="312" s="1" customFormat="1" x14ac:dyDescent="0.3"/>
    <row r="313" s="1" customFormat="1" x14ac:dyDescent="0.3"/>
    <row r="314" s="1" customFormat="1" x14ac:dyDescent="0.3"/>
    <row r="315" s="1" customFormat="1" x14ac:dyDescent="0.3"/>
    <row r="316" s="1" customFormat="1" x14ac:dyDescent="0.3"/>
    <row r="317" s="1" customFormat="1" x14ac:dyDescent="0.3"/>
    <row r="318" s="1" customFormat="1" x14ac:dyDescent="0.3"/>
    <row r="319" s="1" customFormat="1" x14ac:dyDescent="0.3"/>
    <row r="320" s="1" customFormat="1" x14ac:dyDescent="0.3"/>
    <row r="321" s="1" customFormat="1" x14ac:dyDescent="0.3"/>
    <row r="322" s="1" customFormat="1" x14ac:dyDescent="0.3"/>
    <row r="323" s="1" customFormat="1" x14ac:dyDescent="0.3"/>
    <row r="324" s="1" customFormat="1" x14ac:dyDescent="0.3"/>
    <row r="325" s="1" customFormat="1" x14ac:dyDescent="0.3"/>
    <row r="326" s="1" customFormat="1" x14ac:dyDescent="0.3"/>
    <row r="327" s="1" customFormat="1" x14ac:dyDescent="0.3"/>
    <row r="328" s="1" customFormat="1" x14ac:dyDescent="0.3"/>
    <row r="329" s="1" customFormat="1" x14ac:dyDescent="0.3"/>
    <row r="330" s="1" customFormat="1" x14ac:dyDescent="0.3"/>
    <row r="331" s="1" customFormat="1" x14ac:dyDescent="0.3"/>
    <row r="332" s="1" customFormat="1" x14ac:dyDescent="0.3"/>
    <row r="333" s="1" customFormat="1" x14ac:dyDescent="0.3"/>
    <row r="334" s="1" customFormat="1" x14ac:dyDescent="0.3"/>
    <row r="335" s="1" customFormat="1" x14ac:dyDescent="0.3"/>
    <row r="336" s="1" customFormat="1" x14ac:dyDescent="0.3"/>
    <row r="337" s="1" customFormat="1" x14ac:dyDescent="0.3"/>
    <row r="338" s="1" customFormat="1" x14ac:dyDescent="0.3"/>
    <row r="339" s="1" customFormat="1" x14ac:dyDescent="0.3"/>
    <row r="340" s="1" customFormat="1" x14ac:dyDescent="0.3"/>
    <row r="341" s="1" customFormat="1" x14ac:dyDescent="0.3"/>
    <row r="342" s="1" customFormat="1" x14ac:dyDescent="0.3"/>
    <row r="343" s="1" customFormat="1" x14ac:dyDescent="0.3"/>
    <row r="344" s="1" customFormat="1" x14ac:dyDescent="0.3"/>
    <row r="345" s="1" customFormat="1" x14ac:dyDescent="0.3"/>
    <row r="346" s="1" customFormat="1" x14ac:dyDescent="0.3"/>
    <row r="347" s="1" customFormat="1" x14ac:dyDescent="0.3"/>
    <row r="348" s="1" customFormat="1" x14ac:dyDescent="0.3"/>
    <row r="349" s="1" customFormat="1" x14ac:dyDescent="0.3"/>
    <row r="350" s="1" customFormat="1" x14ac:dyDescent="0.3"/>
    <row r="351" s="1" customFormat="1" x14ac:dyDescent="0.3"/>
    <row r="352" s="1" customFormat="1" x14ac:dyDescent="0.3"/>
    <row r="353" s="1" customFormat="1" x14ac:dyDescent="0.3"/>
    <row r="354" s="1" customFormat="1" x14ac:dyDescent="0.3"/>
    <row r="355" s="1" customFormat="1" x14ac:dyDescent="0.3"/>
    <row r="356" s="1" customFormat="1" x14ac:dyDescent="0.3"/>
    <row r="357" s="1" customFormat="1" x14ac:dyDescent="0.3"/>
    <row r="358" s="1" customFormat="1" x14ac:dyDescent="0.3"/>
    <row r="359" s="1" customFormat="1" x14ac:dyDescent="0.3"/>
    <row r="360" s="1" customFormat="1" x14ac:dyDescent="0.3"/>
    <row r="361" s="1" customFormat="1" x14ac:dyDescent="0.3"/>
    <row r="362" s="1" customFormat="1" x14ac:dyDescent="0.3"/>
    <row r="363" s="1" customFormat="1" x14ac:dyDescent="0.3"/>
    <row r="364" s="1" customFormat="1" x14ac:dyDescent="0.3"/>
    <row r="365" s="1" customFormat="1" x14ac:dyDescent="0.3"/>
    <row r="366" s="1" customFormat="1" x14ac:dyDescent="0.3"/>
    <row r="367" s="1" customFormat="1" x14ac:dyDescent="0.3"/>
    <row r="368" s="1" customFormat="1" x14ac:dyDescent="0.3"/>
    <row r="369" s="1" customFormat="1" x14ac:dyDescent="0.3"/>
    <row r="370" s="1" customFormat="1" x14ac:dyDescent="0.3"/>
    <row r="371" s="1" customFormat="1" x14ac:dyDescent="0.3"/>
    <row r="372" s="1" customFormat="1" x14ac:dyDescent="0.3"/>
    <row r="373" s="1" customFormat="1" x14ac:dyDescent="0.3"/>
    <row r="374" s="1" customFormat="1" x14ac:dyDescent="0.3"/>
    <row r="375" s="1" customFormat="1" x14ac:dyDescent="0.3"/>
    <row r="376" s="1" customFormat="1" x14ac:dyDescent="0.3"/>
    <row r="377" s="1" customFormat="1" x14ac:dyDescent="0.3"/>
    <row r="378" s="1" customFormat="1" x14ac:dyDescent="0.3"/>
    <row r="379" s="1" customFormat="1" x14ac:dyDescent="0.3"/>
    <row r="380" s="1" customFormat="1" x14ac:dyDescent="0.3"/>
    <row r="381" s="1" customFormat="1" x14ac:dyDescent="0.3"/>
    <row r="382" s="1" customFormat="1" x14ac:dyDescent="0.3"/>
    <row r="383" s="1" customFormat="1" x14ac:dyDescent="0.3"/>
    <row r="384" s="1" customFormat="1" x14ac:dyDescent="0.3"/>
    <row r="385" s="1" customFormat="1" x14ac:dyDescent="0.3"/>
    <row r="386" s="1" customFormat="1" x14ac:dyDescent="0.3"/>
    <row r="387" s="1" customFormat="1" x14ac:dyDescent="0.3"/>
    <row r="388" s="1" customFormat="1" x14ac:dyDescent="0.3"/>
    <row r="389" s="1" customFormat="1" x14ac:dyDescent="0.3"/>
    <row r="390" s="1" customFormat="1" x14ac:dyDescent="0.3"/>
    <row r="391" s="1" customFormat="1" x14ac:dyDescent="0.3"/>
    <row r="392" s="1" customFormat="1" x14ac:dyDescent="0.3"/>
    <row r="393" s="1" customFormat="1" x14ac:dyDescent="0.3"/>
    <row r="394" s="1" customFormat="1" x14ac:dyDescent="0.3"/>
    <row r="395" s="1" customFormat="1" x14ac:dyDescent="0.3"/>
    <row r="396" s="1" customFormat="1" x14ac:dyDescent="0.3"/>
    <row r="397" s="1" customFormat="1" x14ac:dyDescent="0.3"/>
    <row r="398" s="1" customFormat="1" x14ac:dyDescent="0.3"/>
    <row r="399" s="1" customFormat="1" x14ac:dyDescent="0.3"/>
    <row r="400" s="1" customFormat="1" x14ac:dyDescent="0.3"/>
    <row r="401" s="1" customFormat="1" x14ac:dyDescent="0.3"/>
    <row r="402" s="1" customFormat="1" x14ac:dyDescent="0.3"/>
    <row r="403" s="1" customFormat="1" x14ac:dyDescent="0.3"/>
    <row r="404" s="1" customFormat="1" x14ac:dyDescent="0.3"/>
    <row r="405" s="1" customFormat="1" x14ac:dyDescent="0.3"/>
    <row r="406" s="1" customFormat="1" x14ac:dyDescent="0.3"/>
    <row r="407" s="1" customFormat="1" x14ac:dyDescent="0.3"/>
    <row r="408" s="1" customFormat="1" x14ac:dyDescent="0.3"/>
    <row r="409" s="1" customFormat="1" x14ac:dyDescent="0.3"/>
    <row r="410" s="1" customFormat="1" x14ac:dyDescent="0.3"/>
    <row r="411" s="1" customFormat="1" x14ac:dyDescent="0.3"/>
    <row r="412" s="1" customFormat="1" x14ac:dyDescent="0.3"/>
    <row r="413" s="1" customFormat="1" x14ac:dyDescent="0.3"/>
    <row r="414" s="1" customFormat="1" x14ac:dyDescent="0.3"/>
    <row r="415" s="1" customFormat="1" x14ac:dyDescent="0.3"/>
    <row r="416" s="1" customFormat="1" x14ac:dyDescent="0.3"/>
    <row r="417" s="1" customFormat="1" x14ac:dyDescent="0.3"/>
    <row r="418" s="1" customFormat="1" x14ac:dyDescent="0.3"/>
    <row r="419" s="1" customFormat="1" x14ac:dyDescent="0.3"/>
    <row r="420" s="1" customFormat="1" x14ac:dyDescent="0.3"/>
    <row r="421" s="1" customFormat="1" x14ac:dyDescent="0.3"/>
    <row r="422" s="1" customFormat="1" x14ac:dyDescent="0.3"/>
    <row r="423" s="1" customFormat="1" x14ac:dyDescent="0.3"/>
    <row r="424" s="1" customFormat="1" x14ac:dyDescent="0.3"/>
    <row r="425" s="1" customFormat="1" x14ac:dyDescent="0.3"/>
    <row r="426" s="1" customFormat="1" x14ac:dyDescent="0.3"/>
    <row r="427" s="1" customFormat="1" x14ac:dyDescent="0.3"/>
    <row r="428" s="1" customFormat="1" x14ac:dyDescent="0.3"/>
    <row r="429" s="1" customFormat="1" x14ac:dyDescent="0.3"/>
    <row r="430" s="1" customFormat="1" x14ac:dyDescent="0.3"/>
    <row r="431" s="1" customFormat="1" x14ac:dyDescent="0.3"/>
    <row r="432" s="1" customFormat="1" x14ac:dyDescent="0.3"/>
    <row r="433" s="1" customFormat="1" x14ac:dyDescent="0.3"/>
    <row r="434" s="1" customFormat="1" x14ac:dyDescent="0.3"/>
    <row r="435" s="1" customFormat="1" x14ac:dyDescent="0.3"/>
    <row r="436" s="1" customFormat="1" x14ac:dyDescent="0.3"/>
    <row r="437" s="1" customFormat="1" x14ac:dyDescent="0.3"/>
    <row r="438" s="1" customFormat="1" x14ac:dyDescent="0.3"/>
    <row r="439" s="1" customFormat="1" x14ac:dyDescent="0.3"/>
    <row r="440" s="1" customFormat="1" x14ac:dyDescent="0.3"/>
    <row r="441" s="1" customFormat="1" x14ac:dyDescent="0.3"/>
    <row r="442" s="1" customFormat="1" x14ac:dyDescent="0.3"/>
    <row r="443" s="1" customFormat="1" x14ac:dyDescent="0.3"/>
    <row r="444" s="1" customFormat="1" x14ac:dyDescent="0.3"/>
    <row r="445" s="1" customFormat="1" x14ac:dyDescent="0.3"/>
    <row r="446" s="1" customFormat="1" x14ac:dyDescent="0.3"/>
    <row r="447" s="1" customFormat="1" x14ac:dyDescent="0.3"/>
    <row r="448" s="1" customFormat="1" x14ac:dyDescent="0.3"/>
    <row r="449" s="1" customFormat="1" x14ac:dyDescent="0.3"/>
    <row r="450" s="1" customFormat="1" x14ac:dyDescent="0.3"/>
    <row r="451" s="1" customFormat="1" x14ac:dyDescent="0.3"/>
    <row r="452" s="1" customFormat="1" x14ac:dyDescent="0.3"/>
    <row r="453" s="1" customFormat="1" x14ac:dyDescent="0.3"/>
    <row r="454" s="1" customFormat="1" x14ac:dyDescent="0.3"/>
    <row r="455" s="1" customFormat="1" x14ac:dyDescent="0.3"/>
    <row r="456" s="1" customFormat="1" x14ac:dyDescent="0.3"/>
    <row r="457" s="1" customFormat="1" x14ac:dyDescent="0.3"/>
    <row r="458" s="1" customFormat="1" x14ac:dyDescent="0.3"/>
    <row r="459" s="1" customFormat="1" x14ac:dyDescent="0.3"/>
    <row r="460" s="1" customFormat="1" x14ac:dyDescent="0.3"/>
    <row r="461" s="1" customFormat="1" x14ac:dyDescent="0.3"/>
    <row r="462" s="1" customFormat="1" x14ac:dyDescent="0.3"/>
    <row r="463" s="1" customFormat="1" x14ac:dyDescent="0.3"/>
    <row r="464" s="1" customFormat="1" x14ac:dyDescent="0.3"/>
    <row r="465" s="1" customFormat="1" x14ac:dyDescent="0.3"/>
    <row r="466" s="1" customFormat="1" x14ac:dyDescent="0.3"/>
    <row r="467" s="1" customFormat="1" x14ac:dyDescent="0.3"/>
    <row r="468" s="1" customFormat="1" x14ac:dyDescent="0.3"/>
    <row r="469" s="1" customFormat="1" x14ac:dyDescent="0.3"/>
    <row r="470" s="1" customFormat="1" x14ac:dyDescent="0.3"/>
    <row r="471" s="1" customFormat="1" x14ac:dyDescent="0.3"/>
    <row r="472" s="1" customFormat="1" x14ac:dyDescent="0.3"/>
    <row r="473" s="1" customFormat="1" x14ac:dyDescent="0.3"/>
    <row r="474" s="1" customFormat="1" x14ac:dyDescent="0.3"/>
    <row r="475" s="1" customFormat="1" x14ac:dyDescent="0.3"/>
    <row r="476" s="1" customFormat="1" x14ac:dyDescent="0.3"/>
    <row r="477" s="1" customFormat="1" x14ac:dyDescent="0.3"/>
    <row r="478" s="1" customFormat="1" x14ac:dyDescent="0.3"/>
    <row r="479" s="1" customFormat="1" x14ac:dyDescent="0.3"/>
    <row r="480" s="1" customFormat="1" x14ac:dyDescent="0.3"/>
    <row r="481" s="1" customFormat="1" x14ac:dyDescent="0.3"/>
    <row r="482" s="1" customFormat="1" x14ac:dyDescent="0.3"/>
    <row r="483" s="1" customFormat="1" x14ac:dyDescent="0.3"/>
    <row r="484" s="1" customFormat="1" x14ac:dyDescent="0.3"/>
    <row r="485" s="1" customFormat="1" x14ac:dyDescent="0.3"/>
    <row r="486" s="1" customFormat="1" x14ac:dyDescent="0.3"/>
    <row r="487" s="1" customFormat="1" x14ac:dyDescent="0.3"/>
    <row r="488" s="1" customFormat="1" x14ac:dyDescent="0.3"/>
    <row r="489" s="1" customFormat="1" x14ac:dyDescent="0.3"/>
    <row r="490" s="1" customFormat="1" x14ac:dyDescent="0.3"/>
    <row r="491" s="1" customFormat="1" x14ac:dyDescent="0.3"/>
    <row r="492" s="1" customFormat="1" x14ac:dyDescent="0.3"/>
    <row r="493" s="1" customFormat="1" x14ac:dyDescent="0.3"/>
    <row r="494" s="1" customFormat="1" x14ac:dyDescent="0.3"/>
    <row r="495" s="1" customFormat="1" x14ac:dyDescent="0.3"/>
    <row r="496" s="1" customFormat="1" x14ac:dyDescent="0.3"/>
    <row r="497" s="1" customFormat="1" x14ac:dyDescent="0.3"/>
    <row r="498" s="1" customFormat="1" x14ac:dyDescent="0.3"/>
    <row r="499" s="1" customFormat="1" x14ac:dyDescent="0.3"/>
    <row r="500" s="1" customFormat="1" x14ac:dyDescent="0.3"/>
    <row r="501" s="1" customFormat="1" x14ac:dyDescent="0.3"/>
    <row r="502" s="1" customFormat="1" x14ac:dyDescent="0.3"/>
    <row r="503" s="1" customFormat="1" x14ac:dyDescent="0.3"/>
    <row r="504" s="1" customFormat="1" x14ac:dyDescent="0.3"/>
    <row r="505" s="1" customFormat="1" x14ac:dyDescent="0.3"/>
    <row r="506" s="1" customFormat="1" x14ac:dyDescent="0.3"/>
    <row r="507" s="1" customFormat="1" x14ac:dyDescent="0.3"/>
    <row r="508" s="1" customFormat="1" x14ac:dyDescent="0.3"/>
    <row r="509" s="1" customFormat="1" x14ac:dyDescent="0.3"/>
    <row r="510" s="1" customFormat="1" x14ac:dyDescent="0.3"/>
    <row r="511" s="1" customFormat="1" x14ac:dyDescent="0.3"/>
    <row r="512" s="1" customFormat="1" x14ac:dyDescent="0.3"/>
    <row r="513" s="1" customFormat="1" x14ac:dyDescent="0.3"/>
    <row r="514" s="1" customFormat="1" x14ac:dyDescent="0.3"/>
    <row r="515" s="1" customFormat="1" x14ac:dyDescent="0.3"/>
    <row r="516" s="1" customFormat="1" x14ac:dyDescent="0.3"/>
    <row r="517" s="1" customFormat="1" x14ac:dyDescent="0.3"/>
    <row r="518" s="1" customFormat="1" x14ac:dyDescent="0.3"/>
    <row r="519" s="1" customFormat="1" x14ac:dyDescent="0.3"/>
    <row r="520" s="1" customFormat="1" x14ac:dyDescent="0.3"/>
    <row r="521" s="1" customFormat="1" x14ac:dyDescent="0.3"/>
    <row r="522" s="1" customFormat="1" x14ac:dyDescent="0.3"/>
    <row r="523" s="1" customFormat="1" x14ac:dyDescent="0.3"/>
    <row r="524" s="1" customFormat="1" x14ac:dyDescent="0.3"/>
    <row r="525" s="1" customFormat="1" x14ac:dyDescent="0.3"/>
    <row r="526" s="1" customFormat="1" x14ac:dyDescent="0.3"/>
    <row r="527" s="1" customFormat="1" x14ac:dyDescent="0.3"/>
    <row r="528" s="1" customFormat="1" x14ac:dyDescent="0.3"/>
    <row r="529" s="1" customFormat="1" x14ac:dyDescent="0.3"/>
    <row r="530" s="1" customFormat="1" x14ac:dyDescent="0.3"/>
    <row r="531" s="1" customFormat="1" x14ac:dyDescent="0.3"/>
    <row r="532" s="1" customFormat="1" x14ac:dyDescent="0.3"/>
    <row r="533" s="1" customFormat="1" x14ac:dyDescent="0.3"/>
    <row r="534" s="1" customFormat="1" x14ac:dyDescent="0.3"/>
    <row r="535" s="1" customFormat="1" x14ac:dyDescent="0.3"/>
    <row r="536" s="1" customFormat="1" x14ac:dyDescent="0.3"/>
    <row r="537" s="1" customFormat="1" x14ac:dyDescent="0.3"/>
    <row r="538" s="1" customFormat="1" x14ac:dyDescent="0.3"/>
    <row r="539" s="1" customFormat="1" x14ac:dyDescent="0.3"/>
    <row r="540" s="1" customFormat="1" x14ac:dyDescent="0.3"/>
    <row r="541" s="1" customFormat="1" x14ac:dyDescent="0.3"/>
    <row r="542" s="1" customFormat="1" x14ac:dyDescent="0.3"/>
    <row r="543" s="1" customFormat="1" x14ac:dyDescent="0.3"/>
    <row r="544" s="1" customFormat="1" x14ac:dyDescent="0.3"/>
    <row r="545" s="1" customFormat="1" x14ac:dyDescent="0.3"/>
    <row r="546" s="1" customFormat="1" x14ac:dyDescent="0.3"/>
    <row r="547" s="1" customFormat="1" x14ac:dyDescent="0.3"/>
    <row r="548" s="1" customFormat="1" x14ac:dyDescent="0.3"/>
    <row r="549" s="1" customFormat="1" x14ac:dyDescent="0.3"/>
    <row r="550" s="1" customFormat="1" x14ac:dyDescent="0.3"/>
    <row r="551" s="1" customFormat="1" x14ac:dyDescent="0.3"/>
    <row r="552" s="1" customFormat="1" x14ac:dyDescent="0.3"/>
    <row r="553" s="1" customFormat="1" x14ac:dyDescent="0.3"/>
    <row r="554" s="1" customFormat="1" x14ac:dyDescent="0.3"/>
    <row r="555" s="1" customFormat="1" x14ac:dyDescent="0.3"/>
    <row r="556" s="1" customFormat="1" x14ac:dyDescent="0.3"/>
    <row r="557" s="1" customFormat="1" x14ac:dyDescent="0.3"/>
    <row r="558" s="1" customFormat="1" x14ac:dyDescent="0.3"/>
    <row r="559" s="1" customFormat="1" x14ac:dyDescent="0.3"/>
    <row r="560" s="1" customFormat="1" x14ac:dyDescent="0.3"/>
    <row r="561" s="1" customFormat="1" x14ac:dyDescent="0.3"/>
    <row r="562" s="1" customFormat="1" x14ac:dyDescent="0.3"/>
    <row r="563" s="1" customFormat="1" x14ac:dyDescent="0.3"/>
    <row r="564" s="1" customFormat="1" x14ac:dyDescent="0.3"/>
    <row r="565" s="1" customFormat="1" x14ac:dyDescent="0.3"/>
    <row r="566" s="1" customFormat="1" x14ac:dyDescent="0.3"/>
    <row r="567" s="1" customFormat="1" x14ac:dyDescent="0.3"/>
    <row r="568" s="1" customFormat="1" x14ac:dyDescent="0.3"/>
    <row r="569" s="1" customFormat="1" x14ac:dyDescent="0.3"/>
    <row r="570" s="1" customFormat="1" x14ac:dyDescent="0.3"/>
    <row r="571" s="1" customFormat="1" x14ac:dyDescent="0.3"/>
    <row r="572" s="1" customFormat="1" x14ac:dyDescent="0.3"/>
    <row r="573" s="1" customFormat="1" x14ac:dyDescent="0.3"/>
    <row r="574" s="1" customFormat="1" x14ac:dyDescent="0.3"/>
    <row r="575" s="1" customFormat="1" x14ac:dyDescent="0.3"/>
    <row r="576" s="1" customFormat="1" x14ac:dyDescent="0.3"/>
    <row r="577" s="1" customFormat="1" x14ac:dyDescent="0.3"/>
    <row r="578" s="1" customFormat="1" x14ac:dyDescent="0.3"/>
    <row r="579" s="1" customFormat="1" x14ac:dyDescent="0.3"/>
    <row r="580" s="1" customFormat="1" x14ac:dyDescent="0.3"/>
    <row r="581" s="1" customFormat="1" x14ac:dyDescent="0.3"/>
    <row r="582" s="1" customFormat="1" x14ac:dyDescent="0.3"/>
    <row r="583" s="1" customFormat="1" x14ac:dyDescent="0.3"/>
    <row r="584" s="1" customFormat="1" x14ac:dyDescent="0.3"/>
    <row r="585" s="1" customFormat="1" x14ac:dyDescent="0.3"/>
    <row r="586" s="1" customFormat="1" x14ac:dyDescent="0.3"/>
    <row r="587" s="1" customFormat="1" x14ac:dyDescent="0.3"/>
    <row r="588" s="1" customFormat="1" x14ac:dyDescent="0.3"/>
    <row r="589" s="1" customFormat="1" x14ac:dyDescent="0.3"/>
    <row r="590" s="1" customFormat="1" x14ac:dyDescent="0.3"/>
    <row r="591" s="1" customFormat="1" x14ac:dyDescent="0.3"/>
    <row r="592" s="1" customFormat="1" x14ac:dyDescent="0.3"/>
    <row r="593" s="1" customFormat="1" x14ac:dyDescent="0.3"/>
    <row r="594" s="1" customFormat="1" x14ac:dyDescent="0.3"/>
    <row r="595" s="1" customFormat="1" x14ac:dyDescent="0.3"/>
    <row r="596" s="1" customFormat="1" x14ac:dyDescent="0.3"/>
    <row r="597" s="1" customFormat="1" x14ac:dyDescent="0.3"/>
    <row r="598" s="1" customFormat="1" x14ac:dyDescent="0.3"/>
    <row r="599" s="1" customFormat="1" x14ac:dyDescent="0.3"/>
    <row r="600" s="1" customFormat="1" x14ac:dyDescent="0.3"/>
    <row r="601" s="1" customFormat="1" x14ac:dyDescent="0.3"/>
    <row r="602" s="1" customFormat="1" x14ac:dyDescent="0.3"/>
    <row r="603" s="1" customFormat="1" x14ac:dyDescent="0.3"/>
    <row r="604" s="1" customFormat="1" x14ac:dyDescent="0.3"/>
    <row r="605" s="1" customFormat="1" x14ac:dyDescent="0.3"/>
    <row r="606" s="1" customFormat="1" x14ac:dyDescent="0.3"/>
    <row r="607" s="1" customFormat="1" x14ac:dyDescent="0.3"/>
    <row r="608" s="1" customFormat="1" x14ac:dyDescent="0.3"/>
    <row r="609" s="1" customFormat="1" x14ac:dyDescent="0.3"/>
    <row r="610" s="1" customFormat="1" x14ac:dyDescent="0.3"/>
    <row r="611" s="1" customFormat="1" x14ac:dyDescent="0.3"/>
    <row r="612" s="1" customFormat="1" x14ac:dyDescent="0.3"/>
    <row r="613" s="1" customFormat="1" x14ac:dyDescent="0.3"/>
    <row r="614" s="1" customFormat="1" x14ac:dyDescent="0.3"/>
    <row r="615" s="1" customFormat="1" x14ac:dyDescent="0.3"/>
    <row r="616" s="1" customFormat="1" x14ac:dyDescent="0.3"/>
    <row r="617" s="1" customFormat="1" x14ac:dyDescent="0.3"/>
    <row r="618" s="1" customFormat="1" x14ac:dyDescent="0.3"/>
    <row r="619" s="1" customFormat="1" x14ac:dyDescent="0.3"/>
    <row r="620" s="1" customFormat="1" x14ac:dyDescent="0.3"/>
    <row r="621" s="1" customFormat="1" x14ac:dyDescent="0.3"/>
    <row r="622" s="1" customFormat="1" x14ac:dyDescent="0.3"/>
    <row r="623" s="1" customFormat="1" x14ac:dyDescent="0.3"/>
    <row r="624" s="1" customFormat="1" x14ac:dyDescent="0.3"/>
    <row r="625" s="1" customFormat="1" x14ac:dyDescent="0.3"/>
    <row r="626" s="1" customFormat="1" x14ac:dyDescent="0.3"/>
    <row r="627" s="1" customFormat="1" x14ac:dyDescent="0.3"/>
    <row r="628" s="1" customFormat="1" x14ac:dyDescent="0.3"/>
    <row r="629" s="1" customFormat="1" x14ac:dyDescent="0.3"/>
    <row r="630" s="1" customFormat="1" x14ac:dyDescent="0.3"/>
    <row r="631" s="1" customFormat="1" x14ac:dyDescent="0.3"/>
    <row r="632" s="1" customFormat="1" x14ac:dyDescent="0.3"/>
    <row r="633" s="1" customFormat="1" x14ac:dyDescent="0.3"/>
    <row r="634" s="1" customFormat="1" x14ac:dyDescent="0.3"/>
    <row r="635" s="1" customFormat="1" x14ac:dyDescent="0.3"/>
    <row r="636" s="1" customFormat="1" x14ac:dyDescent="0.3"/>
    <row r="637" s="1" customFormat="1" x14ac:dyDescent="0.3"/>
    <row r="638" s="1" customFormat="1" x14ac:dyDescent="0.3"/>
    <row r="639" s="1" customFormat="1" x14ac:dyDescent="0.3"/>
    <row r="640" s="1" customFormat="1" x14ac:dyDescent="0.3"/>
    <row r="641" s="1" customFormat="1" x14ac:dyDescent="0.3"/>
    <row r="642" s="1" customFormat="1" x14ac:dyDescent="0.3"/>
    <row r="643" s="1" customFormat="1" x14ac:dyDescent="0.3"/>
    <row r="644" s="1" customFormat="1" x14ac:dyDescent="0.3"/>
    <row r="645" s="1" customFormat="1" x14ac:dyDescent="0.3"/>
    <row r="646" s="1" customFormat="1" x14ac:dyDescent="0.3"/>
    <row r="647" s="1" customFormat="1" x14ac:dyDescent="0.3"/>
    <row r="648" s="1" customFormat="1" x14ac:dyDescent="0.3"/>
    <row r="649" s="1" customFormat="1" x14ac:dyDescent="0.3"/>
    <row r="650" s="1" customFormat="1" x14ac:dyDescent="0.3"/>
    <row r="651" s="1" customFormat="1" x14ac:dyDescent="0.3"/>
    <row r="652" s="1" customFormat="1" x14ac:dyDescent="0.3"/>
    <row r="653" s="1" customFormat="1" x14ac:dyDescent="0.3"/>
    <row r="654" s="1" customFormat="1" x14ac:dyDescent="0.3"/>
    <row r="655" s="1" customFormat="1" x14ac:dyDescent="0.3"/>
    <row r="656" s="1" customFormat="1" x14ac:dyDescent="0.3"/>
    <row r="657" s="1" customFormat="1" x14ac:dyDescent="0.3"/>
    <row r="658" s="1" customFormat="1" x14ac:dyDescent="0.3"/>
    <row r="659" s="1" customFormat="1" x14ac:dyDescent="0.3"/>
    <row r="660" s="1" customFormat="1" x14ac:dyDescent="0.3"/>
    <row r="661" s="1" customFormat="1" x14ac:dyDescent="0.3"/>
    <row r="662" s="1" customFormat="1" x14ac:dyDescent="0.3"/>
    <row r="663" s="1" customFormat="1" x14ac:dyDescent="0.3"/>
    <row r="664" s="1" customFormat="1" x14ac:dyDescent="0.3"/>
    <row r="665" s="1" customFormat="1" x14ac:dyDescent="0.3"/>
    <row r="666" s="1" customFormat="1" x14ac:dyDescent="0.3"/>
    <row r="667" s="1" customFormat="1" x14ac:dyDescent="0.3"/>
    <row r="668" s="1" customFormat="1" x14ac:dyDescent="0.3"/>
    <row r="669" s="1" customFormat="1" x14ac:dyDescent="0.3"/>
    <row r="670" s="1" customFormat="1" x14ac:dyDescent="0.3"/>
    <row r="671" s="1" customFormat="1" x14ac:dyDescent="0.3"/>
    <row r="672" s="1" customFormat="1" x14ac:dyDescent="0.3"/>
    <row r="673" s="1" customFormat="1" x14ac:dyDescent="0.3"/>
    <row r="674" s="1" customFormat="1" x14ac:dyDescent="0.3"/>
    <row r="675" s="1" customFormat="1" x14ac:dyDescent="0.3"/>
    <row r="676" s="1" customFormat="1" x14ac:dyDescent="0.3"/>
    <row r="677" s="1" customFormat="1" x14ac:dyDescent="0.3"/>
    <row r="678" s="1" customFormat="1" x14ac:dyDescent="0.3"/>
    <row r="679" s="1" customFormat="1" x14ac:dyDescent="0.3"/>
    <row r="680" s="1" customFormat="1" x14ac:dyDescent="0.3"/>
    <row r="681" s="1" customFormat="1" x14ac:dyDescent="0.3"/>
    <row r="682" s="1" customFormat="1" x14ac:dyDescent="0.3"/>
    <row r="683" s="1" customFormat="1" x14ac:dyDescent="0.3"/>
    <row r="684" s="1" customFormat="1" x14ac:dyDescent="0.3"/>
    <row r="685" s="1" customFormat="1" x14ac:dyDescent="0.3"/>
    <row r="686" s="1" customFormat="1" x14ac:dyDescent="0.3"/>
    <row r="687" s="1" customFormat="1" x14ac:dyDescent="0.3"/>
    <row r="688" s="1" customFormat="1" x14ac:dyDescent="0.3"/>
    <row r="689" s="1" customFormat="1" x14ac:dyDescent="0.3"/>
    <row r="690" s="1" customFormat="1" x14ac:dyDescent="0.3"/>
    <row r="691" s="1" customFormat="1" x14ac:dyDescent="0.3"/>
    <row r="692" s="1" customFormat="1" x14ac:dyDescent="0.3"/>
    <row r="693" s="1" customFormat="1" x14ac:dyDescent="0.3"/>
    <row r="694" s="1" customFormat="1" x14ac:dyDescent="0.3"/>
    <row r="695" s="1" customFormat="1" x14ac:dyDescent="0.3"/>
    <row r="696" s="1" customFormat="1" x14ac:dyDescent="0.3"/>
    <row r="697" s="1" customFormat="1" x14ac:dyDescent="0.3"/>
    <row r="698" s="1" customFormat="1" x14ac:dyDescent="0.3"/>
    <row r="699" s="1" customFormat="1" x14ac:dyDescent="0.3"/>
    <row r="700" s="1" customFormat="1" x14ac:dyDescent="0.3"/>
    <row r="701" s="1" customFormat="1" x14ac:dyDescent="0.3"/>
    <row r="702" s="1" customFormat="1" x14ac:dyDescent="0.3"/>
    <row r="703" s="1" customFormat="1" x14ac:dyDescent="0.3"/>
    <row r="704" s="1" customFormat="1" x14ac:dyDescent="0.3"/>
    <row r="705" s="1" customFormat="1" x14ac:dyDescent="0.3"/>
    <row r="706" s="1" customFormat="1" x14ac:dyDescent="0.3"/>
    <row r="707" s="1" customFormat="1" x14ac:dyDescent="0.3"/>
    <row r="708" s="1" customFormat="1" x14ac:dyDescent="0.3"/>
    <row r="709" s="1" customFormat="1" x14ac:dyDescent="0.3"/>
    <row r="710" s="1" customFormat="1" x14ac:dyDescent="0.3"/>
    <row r="711" s="1" customFormat="1" x14ac:dyDescent="0.3"/>
    <row r="712" s="1" customFormat="1" x14ac:dyDescent="0.3"/>
    <row r="713" s="1" customFormat="1" x14ac:dyDescent="0.3"/>
    <row r="714" s="1" customFormat="1" x14ac:dyDescent="0.3"/>
    <row r="715" s="1" customFormat="1" x14ac:dyDescent="0.3"/>
    <row r="716" s="1" customFormat="1" x14ac:dyDescent="0.3"/>
    <row r="717" s="1" customFormat="1" x14ac:dyDescent="0.3"/>
    <row r="718" s="1" customFormat="1" x14ac:dyDescent="0.3"/>
    <row r="719" s="1" customFormat="1" x14ac:dyDescent="0.3"/>
    <row r="720" s="1" customFormat="1" x14ac:dyDescent="0.3"/>
    <row r="721" s="1" customFormat="1" x14ac:dyDescent="0.3"/>
    <row r="722" s="1" customFormat="1" x14ac:dyDescent="0.3"/>
    <row r="723" s="1" customFormat="1" x14ac:dyDescent="0.3"/>
    <row r="724" s="1" customFormat="1" x14ac:dyDescent="0.3"/>
    <row r="725" s="1" customFormat="1" x14ac:dyDescent="0.3"/>
    <row r="726" s="1" customFormat="1" x14ac:dyDescent="0.3"/>
    <row r="727" s="1" customFormat="1" x14ac:dyDescent="0.3"/>
    <row r="728" s="1" customFormat="1" x14ac:dyDescent="0.3"/>
    <row r="729" s="1" customFormat="1" x14ac:dyDescent="0.3"/>
    <row r="730" s="1" customFormat="1" x14ac:dyDescent="0.3"/>
    <row r="731" s="1" customFormat="1" x14ac:dyDescent="0.3"/>
    <row r="732" s="1" customFormat="1" x14ac:dyDescent="0.3"/>
    <row r="733" s="1" customFormat="1" x14ac:dyDescent="0.3"/>
    <row r="734" s="1" customFormat="1" x14ac:dyDescent="0.3"/>
    <row r="735" s="1" customFormat="1" x14ac:dyDescent="0.3"/>
    <row r="736" s="1" customFormat="1" x14ac:dyDescent="0.3"/>
    <row r="737" s="1" customFormat="1" x14ac:dyDescent="0.3"/>
    <row r="738" s="1" customFormat="1" x14ac:dyDescent="0.3"/>
    <row r="739" s="1" customFormat="1" x14ac:dyDescent="0.3"/>
    <row r="740" s="1" customFormat="1" x14ac:dyDescent="0.3"/>
    <row r="741" s="1" customFormat="1" x14ac:dyDescent="0.3"/>
    <row r="742" s="1" customFormat="1" x14ac:dyDescent="0.3"/>
    <row r="743" s="1" customFormat="1" x14ac:dyDescent="0.3"/>
    <row r="744" s="1" customFormat="1" x14ac:dyDescent="0.3"/>
    <row r="745" s="1" customFormat="1" x14ac:dyDescent="0.3"/>
    <row r="746" s="1" customFormat="1" x14ac:dyDescent="0.3"/>
    <row r="747" s="1" customFormat="1" x14ac:dyDescent="0.3"/>
    <row r="748" s="1" customFormat="1" x14ac:dyDescent="0.3"/>
    <row r="749" s="1" customFormat="1" x14ac:dyDescent="0.3"/>
    <row r="750" s="1" customFormat="1" x14ac:dyDescent="0.3"/>
    <row r="751" s="1" customFormat="1" x14ac:dyDescent="0.3"/>
    <row r="752" s="1" customFormat="1" x14ac:dyDescent="0.3"/>
    <row r="753" s="1" customFormat="1" x14ac:dyDescent="0.3"/>
    <row r="754" s="1" customFormat="1" x14ac:dyDescent="0.3"/>
    <row r="755" s="1" customFormat="1" x14ac:dyDescent="0.3"/>
    <row r="756" s="1" customFormat="1" x14ac:dyDescent="0.3"/>
    <row r="757" s="1" customFormat="1" x14ac:dyDescent="0.3"/>
    <row r="758" s="1" customFormat="1" x14ac:dyDescent="0.3"/>
    <row r="759" s="1" customFormat="1" x14ac:dyDescent="0.3"/>
    <row r="760" s="1" customFormat="1" x14ac:dyDescent="0.3"/>
    <row r="761" s="1" customFormat="1" x14ac:dyDescent="0.3"/>
    <row r="762" s="1" customFormat="1" x14ac:dyDescent="0.3"/>
    <row r="763" s="1" customFormat="1" x14ac:dyDescent="0.3"/>
    <row r="764" s="1" customFormat="1" x14ac:dyDescent="0.3"/>
    <row r="765" s="1" customFormat="1" x14ac:dyDescent="0.3"/>
    <row r="766" s="1" customFormat="1" x14ac:dyDescent="0.3"/>
    <row r="767" s="1" customFormat="1" x14ac:dyDescent="0.3"/>
    <row r="768" s="1" customFormat="1" x14ac:dyDescent="0.3"/>
    <row r="769" s="1" customFormat="1" x14ac:dyDescent="0.3"/>
    <row r="770" s="1" customFormat="1" x14ac:dyDescent="0.3"/>
    <row r="771" s="1" customFormat="1" x14ac:dyDescent="0.3"/>
    <row r="772" s="1" customFormat="1" x14ac:dyDescent="0.3"/>
    <row r="773" s="1" customFormat="1" x14ac:dyDescent="0.3"/>
    <row r="774" s="1" customFormat="1" x14ac:dyDescent="0.3"/>
    <row r="775" s="1" customFormat="1" x14ac:dyDescent="0.3"/>
    <row r="776" s="1" customFormat="1" x14ac:dyDescent="0.3"/>
    <row r="777" s="1" customFormat="1" x14ac:dyDescent="0.3"/>
    <row r="778" s="1" customFormat="1" x14ac:dyDescent="0.3"/>
    <row r="779" s="1" customFormat="1" x14ac:dyDescent="0.3"/>
    <row r="780" s="1" customFormat="1" x14ac:dyDescent="0.3"/>
    <row r="781" s="1" customFormat="1" x14ac:dyDescent="0.3"/>
    <row r="782" s="1" customFormat="1" x14ac:dyDescent="0.3"/>
    <row r="783" s="1" customFormat="1" x14ac:dyDescent="0.3"/>
    <row r="784" s="1" customFormat="1" x14ac:dyDescent="0.3"/>
    <row r="785" s="1" customFormat="1" x14ac:dyDescent="0.3"/>
    <row r="786" s="1" customFormat="1" x14ac:dyDescent="0.3"/>
    <row r="787" s="1" customFormat="1" x14ac:dyDescent="0.3"/>
    <row r="788" s="1" customFormat="1" x14ac:dyDescent="0.3"/>
    <row r="789" s="1" customFormat="1" x14ac:dyDescent="0.3"/>
    <row r="790" s="1" customFormat="1" x14ac:dyDescent="0.3"/>
    <row r="791" s="1" customFormat="1" x14ac:dyDescent="0.3"/>
    <row r="792" s="1" customFormat="1" x14ac:dyDescent="0.3"/>
    <row r="793" s="1" customFormat="1" x14ac:dyDescent="0.3"/>
    <row r="794" s="1" customFormat="1" x14ac:dyDescent="0.3"/>
    <row r="795" s="1" customFormat="1" x14ac:dyDescent="0.3"/>
    <row r="796" s="1" customFormat="1" x14ac:dyDescent="0.3"/>
    <row r="797" s="1" customFormat="1" x14ac:dyDescent="0.3"/>
    <row r="798" s="1" customFormat="1" x14ac:dyDescent="0.3"/>
    <row r="799" s="1" customFormat="1" x14ac:dyDescent="0.3"/>
    <row r="800" s="1" customFormat="1" x14ac:dyDescent="0.3"/>
    <row r="801" s="1" customFormat="1" x14ac:dyDescent="0.3"/>
    <row r="802" s="1" customFormat="1" x14ac:dyDescent="0.3"/>
    <row r="803" s="1" customFormat="1" x14ac:dyDescent="0.3"/>
    <row r="804" s="1" customFormat="1" x14ac:dyDescent="0.3"/>
    <row r="805" s="1" customFormat="1" x14ac:dyDescent="0.3"/>
    <row r="806" s="1" customFormat="1" x14ac:dyDescent="0.3"/>
    <row r="807" s="1" customFormat="1" x14ac:dyDescent="0.3"/>
    <row r="808" s="1" customFormat="1" x14ac:dyDescent="0.3"/>
    <row r="809" s="1" customFormat="1" x14ac:dyDescent="0.3"/>
    <row r="810" s="1" customFormat="1" x14ac:dyDescent="0.3"/>
    <row r="811" s="1" customFormat="1" x14ac:dyDescent="0.3"/>
    <row r="812" s="1" customFormat="1" x14ac:dyDescent="0.3"/>
    <row r="813" s="1" customFormat="1" x14ac:dyDescent="0.3"/>
    <row r="814" s="1" customFormat="1" x14ac:dyDescent="0.3"/>
    <row r="815" s="1" customFormat="1" x14ac:dyDescent="0.3"/>
    <row r="816" s="1" customFormat="1" x14ac:dyDescent="0.3"/>
    <row r="817" s="1" customFormat="1" x14ac:dyDescent="0.3"/>
    <row r="818" s="1" customFormat="1" x14ac:dyDescent="0.3"/>
    <row r="819" s="1" customFormat="1" x14ac:dyDescent="0.3"/>
    <row r="820" s="1" customFormat="1" x14ac:dyDescent="0.3"/>
    <row r="821" s="1" customFormat="1" x14ac:dyDescent="0.3"/>
    <row r="822" s="1" customFormat="1" x14ac:dyDescent="0.3"/>
    <row r="823" s="1" customFormat="1" x14ac:dyDescent="0.3"/>
    <row r="824" s="1" customFormat="1" x14ac:dyDescent="0.3"/>
    <row r="825" s="1" customFormat="1" x14ac:dyDescent="0.3"/>
    <row r="826" s="1" customFormat="1" x14ac:dyDescent="0.3"/>
    <row r="827" s="1" customFormat="1" x14ac:dyDescent="0.3"/>
    <row r="828" s="1" customFormat="1" x14ac:dyDescent="0.3"/>
    <row r="829" s="1" customFormat="1" x14ac:dyDescent="0.3"/>
    <row r="830" s="1" customFormat="1" x14ac:dyDescent="0.3"/>
    <row r="831" s="1" customFormat="1" x14ac:dyDescent="0.3"/>
    <row r="832" s="1" customFormat="1" x14ac:dyDescent="0.3"/>
    <row r="833" s="1" customFormat="1" x14ac:dyDescent="0.3"/>
    <row r="834" s="1" customFormat="1" x14ac:dyDescent="0.3"/>
    <row r="835" s="1" customFormat="1" x14ac:dyDescent="0.3"/>
    <row r="836" s="1" customFormat="1" x14ac:dyDescent="0.3"/>
    <row r="837" s="1" customFormat="1" x14ac:dyDescent="0.3"/>
    <row r="838" s="1" customFormat="1" x14ac:dyDescent="0.3"/>
    <row r="839" s="1" customFormat="1" x14ac:dyDescent="0.3"/>
    <row r="840" s="1" customFormat="1" x14ac:dyDescent="0.3"/>
    <row r="841" s="1" customFormat="1" x14ac:dyDescent="0.3"/>
    <row r="842" s="1" customFormat="1" x14ac:dyDescent="0.3"/>
    <row r="843" s="1" customFormat="1" x14ac:dyDescent="0.3"/>
    <row r="844" s="1" customFormat="1" x14ac:dyDescent="0.3"/>
    <row r="845" s="1" customFormat="1" x14ac:dyDescent="0.3"/>
    <row r="846" s="1" customFormat="1" x14ac:dyDescent="0.3"/>
    <row r="847" s="1" customFormat="1" x14ac:dyDescent="0.3"/>
    <row r="848" s="1" customFormat="1" x14ac:dyDescent="0.3"/>
    <row r="849" s="1" customFormat="1" x14ac:dyDescent="0.3"/>
    <row r="850" s="1" customFormat="1" x14ac:dyDescent="0.3"/>
    <row r="851" s="1" customFormat="1" x14ac:dyDescent="0.3"/>
    <row r="852" s="1" customFormat="1" x14ac:dyDescent="0.3"/>
    <row r="853" s="1" customFormat="1" x14ac:dyDescent="0.3"/>
    <row r="854" s="1" customFormat="1" x14ac:dyDescent="0.3"/>
    <row r="855" s="1" customFormat="1" x14ac:dyDescent="0.3"/>
    <row r="856" s="1" customFormat="1" x14ac:dyDescent="0.3"/>
    <row r="857" s="1" customFormat="1" x14ac:dyDescent="0.3"/>
    <row r="858" s="1" customFormat="1" x14ac:dyDescent="0.3"/>
    <row r="859" s="1" customFormat="1" x14ac:dyDescent="0.3"/>
    <row r="860" s="1" customFormat="1" x14ac:dyDescent="0.3"/>
    <row r="861" s="1" customFormat="1" x14ac:dyDescent="0.3"/>
    <row r="862" s="1" customFormat="1" x14ac:dyDescent="0.3"/>
    <row r="863" s="1" customFormat="1" x14ac:dyDescent="0.3"/>
    <row r="864" s="1" customFormat="1" x14ac:dyDescent="0.3"/>
    <row r="865" s="1" customFormat="1" x14ac:dyDescent="0.3"/>
    <row r="866" s="1" customFormat="1" x14ac:dyDescent="0.3"/>
    <row r="867" s="1" customFormat="1" x14ac:dyDescent="0.3"/>
    <row r="868" s="1" customFormat="1" x14ac:dyDescent="0.3"/>
    <row r="869" s="1" customFormat="1" x14ac:dyDescent="0.3"/>
    <row r="870" s="1" customFormat="1" x14ac:dyDescent="0.3"/>
    <row r="871" s="1" customFormat="1" x14ac:dyDescent="0.3"/>
    <row r="872" s="1" customFormat="1" x14ac:dyDescent="0.3"/>
    <row r="873" s="1" customFormat="1" x14ac:dyDescent="0.3"/>
    <row r="874" s="1" customFormat="1" x14ac:dyDescent="0.3"/>
    <row r="875" s="1" customFormat="1" x14ac:dyDescent="0.3"/>
    <row r="876" s="1" customFormat="1" x14ac:dyDescent="0.3"/>
    <row r="877" s="1" customFormat="1" x14ac:dyDescent="0.3"/>
    <row r="878" s="1" customFormat="1" x14ac:dyDescent="0.3"/>
    <row r="879" s="1" customFormat="1" x14ac:dyDescent="0.3"/>
    <row r="880" s="1" customFormat="1" x14ac:dyDescent="0.3"/>
    <row r="881" s="1" customFormat="1" x14ac:dyDescent="0.3"/>
    <row r="882" s="1" customFormat="1" x14ac:dyDescent="0.3"/>
    <row r="883" s="1" customFormat="1" x14ac:dyDescent="0.3"/>
    <row r="884" s="1" customFormat="1" x14ac:dyDescent="0.3"/>
    <row r="885" s="1" customFormat="1" x14ac:dyDescent="0.3"/>
    <row r="886" s="1" customFormat="1" x14ac:dyDescent="0.3"/>
    <row r="887" s="1" customFormat="1" x14ac:dyDescent="0.3"/>
    <row r="888" s="1" customFormat="1" x14ac:dyDescent="0.3"/>
    <row r="889" s="1" customFormat="1" x14ac:dyDescent="0.3"/>
    <row r="890" s="1" customFormat="1" x14ac:dyDescent="0.3"/>
    <row r="891" s="1" customFormat="1" x14ac:dyDescent="0.3"/>
    <row r="892" s="1" customFormat="1" x14ac:dyDescent="0.3"/>
    <row r="893" s="1" customFormat="1" x14ac:dyDescent="0.3"/>
    <row r="894" s="1" customFormat="1" x14ac:dyDescent="0.3"/>
    <row r="895" s="1" customFormat="1" x14ac:dyDescent="0.3"/>
    <row r="896" s="1" customFormat="1" x14ac:dyDescent="0.3"/>
    <row r="897" s="1" customFormat="1" x14ac:dyDescent="0.3"/>
    <row r="898" s="1" customFormat="1" x14ac:dyDescent="0.3"/>
    <row r="899" s="1" customFormat="1" x14ac:dyDescent="0.3"/>
    <row r="900" s="1" customFormat="1" x14ac:dyDescent="0.3"/>
    <row r="901" s="1" customFormat="1" x14ac:dyDescent="0.3"/>
    <row r="902" s="1" customFormat="1" x14ac:dyDescent="0.3"/>
    <row r="903" s="1" customFormat="1" x14ac:dyDescent="0.3"/>
    <row r="904" s="1" customFormat="1" x14ac:dyDescent="0.3"/>
    <row r="905" s="1" customFormat="1" x14ac:dyDescent="0.3"/>
    <row r="906" s="1" customFormat="1" x14ac:dyDescent="0.3"/>
    <row r="907" s="1" customFormat="1" x14ac:dyDescent="0.3"/>
    <row r="908" s="1" customFormat="1" x14ac:dyDescent="0.3"/>
    <row r="909" s="1" customFormat="1" x14ac:dyDescent="0.3"/>
    <row r="910" s="1" customFormat="1" x14ac:dyDescent="0.3"/>
    <row r="911" s="1" customFormat="1" x14ac:dyDescent="0.3"/>
    <row r="912" s="1" customFormat="1" x14ac:dyDescent="0.3"/>
    <row r="913" s="1" customFormat="1" x14ac:dyDescent="0.3"/>
    <row r="914" s="1" customFormat="1" x14ac:dyDescent="0.3"/>
    <row r="915" s="1" customFormat="1" x14ac:dyDescent="0.3"/>
    <row r="916" s="1" customFormat="1" x14ac:dyDescent="0.3"/>
    <row r="917" s="1" customFormat="1" x14ac:dyDescent="0.3"/>
    <row r="918" s="1" customFormat="1" x14ac:dyDescent="0.3"/>
    <row r="919" s="1" customFormat="1" x14ac:dyDescent="0.3"/>
    <row r="920" s="1" customFormat="1" x14ac:dyDescent="0.3"/>
    <row r="921" s="1" customFormat="1" x14ac:dyDescent="0.3"/>
    <row r="922" s="1" customFormat="1" x14ac:dyDescent="0.3"/>
    <row r="923" s="1" customFormat="1" x14ac:dyDescent="0.3"/>
    <row r="924" s="1" customFormat="1" x14ac:dyDescent="0.3"/>
    <row r="925" s="1" customFormat="1" x14ac:dyDescent="0.3"/>
    <row r="926" s="1" customFormat="1" x14ac:dyDescent="0.3"/>
    <row r="927" s="1" customFormat="1" x14ac:dyDescent="0.3"/>
    <row r="928" s="1" customFormat="1" x14ac:dyDescent="0.3"/>
    <row r="929" s="1" customFormat="1" x14ac:dyDescent="0.3"/>
    <row r="930" s="1" customFormat="1" x14ac:dyDescent="0.3"/>
    <row r="931" s="1" customFormat="1" x14ac:dyDescent="0.3"/>
    <row r="932" s="1" customFormat="1" x14ac:dyDescent="0.3"/>
    <row r="933" s="1" customFormat="1" x14ac:dyDescent="0.3"/>
    <row r="934" s="1" customFormat="1" x14ac:dyDescent="0.3"/>
    <row r="935" s="1" customFormat="1" x14ac:dyDescent="0.3"/>
    <row r="936" s="1" customFormat="1" x14ac:dyDescent="0.3"/>
    <row r="937" s="1" customFormat="1" x14ac:dyDescent="0.3"/>
    <row r="938" s="1" customFormat="1" x14ac:dyDescent="0.3"/>
    <row r="939" s="1" customFormat="1" x14ac:dyDescent="0.3"/>
    <row r="940" s="1" customFormat="1" x14ac:dyDescent="0.3"/>
    <row r="941" s="1" customFormat="1" x14ac:dyDescent="0.3"/>
    <row r="942" s="1" customFormat="1" x14ac:dyDescent="0.3"/>
    <row r="943" s="1" customFormat="1" x14ac:dyDescent="0.3"/>
    <row r="944" s="1" customFormat="1" x14ac:dyDescent="0.3"/>
    <row r="945" s="1" customFormat="1" x14ac:dyDescent="0.3"/>
    <row r="946" s="1" customFormat="1" x14ac:dyDescent="0.3"/>
    <row r="947" s="1" customFormat="1" x14ac:dyDescent="0.3"/>
    <row r="948" s="1" customFormat="1" x14ac:dyDescent="0.3"/>
    <row r="949" s="1" customFormat="1" x14ac:dyDescent="0.3"/>
    <row r="950" s="1" customFormat="1" x14ac:dyDescent="0.3"/>
    <row r="951" s="1" customFormat="1" x14ac:dyDescent="0.3"/>
    <row r="952" s="1" customFormat="1" x14ac:dyDescent="0.3"/>
    <row r="953" s="1" customFormat="1" x14ac:dyDescent="0.3"/>
    <row r="954" s="1" customFormat="1" x14ac:dyDescent="0.3"/>
    <row r="955" s="1" customFormat="1" x14ac:dyDescent="0.3"/>
    <row r="956" s="1" customFormat="1" x14ac:dyDescent="0.3"/>
    <row r="957" s="1" customFormat="1" x14ac:dyDescent="0.3"/>
    <row r="958" s="1" customFormat="1" x14ac:dyDescent="0.3"/>
    <row r="959" s="1" customFormat="1" x14ac:dyDescent="0.3"/>
    <row r="960" s="1" customFormat="1" x14ac:dyDescent="0.3"/>
    <row r="961" s="1" customFormat="1" x14ac:dyDescent="0.3"/>
    <row r="962" s="1" customFormat="1" x14ac:dyDescent="0.3"/>
    <row r="963" s="1" customFormat="1" x14ac:dyDescent="0.3"/>
    <row r="964" s="1" customFormat="1" x14ac:dyDescent="0.3"/>
    <row r="965" s="1" customFormat="1" x14ac:dyDescent="0.3"/>
    <row r="966" s="1" customFormat="1" x14ac:dyDescent="0.3"/>
    <row r="967" s="1" customFormat="1" x14ac:dyDescent="0.3"/>
    <row r="968" s="1" customFormat="1" x14ac:dyDescent="0.3"/>
    <row r="969" s="1" customFormat="1" x14ac:dyDescent="0.3"/>
    <row r="970" s="1" customFormat="1" x14ac:dyDescent="0.3"/>
    <row r="971" s="1" customFormat="1" x14ac:dyDescent="0.3"/>
    <row r="972" s="1" customFormat="1" x14ac:dyDescent="0.3"/>
    <row r="973" s="1" customFormat="1" x14ac:dyDescent="0.3"/>
    <row r="974" s="1" customFormat="1" x14ac:dyDescent="0.3"/>
    <row r="975" s="1" customFormat="1" x14ac:dyDescent="0.3"/>
    <row r="976" s="1" customFormat="1" x14ac:dyDescent="0.3"/>
    <row r="977" s="1" customFormat="1" x14ac:dyDescent="0.3"/>
    <row r="978" s="1" customFormat="1" x14ac:dyDescent="0.3"/>
    <row r="979" s="1" customFormat="1" x14ac:dyDescent="0.3"/>
    <row r="980" s="1" customFormat="1" x14ac:dyDescent="0.3"/>
    <row r="981" s="1" customFormat="1" x14ac:dyDescent="0.3"/>
    <row r="982" s="1" customFormat="1" x14ac:dyDescent="0.3"/>
    <row r="983" s="1" customFormat="1" x14ac:dyDescent="0.3"/>
    <row r="984" s="1" customFormat="1" x14ac:dyDescent="0.3"/>
    <row r="985" s="1" customFormat="1" x14ac:dyDescent="0.3"/>
    <row r="986" s="1" customFormat="1" x14ac:dyDescent="0.3"/>
    <row r="987" s="1" customFormat="1" x14ac:dyDescent="0.3"/>
    <row r="988" s="1" customFormat="1" x14ac:dyDescent="0.3"/>
    <row r="989" s="1" customFormat="1" x14ac:dyDescent="0.3"/>
    <row r="990" s="1" customFormat="1" x14ac:dyDescent="0.3"/>
    <row r="991" s="1" customFormat="1" x14ac:dyDescent="0.3"/>
    <row r="992" s="1" customFormat="1" x14ac:dyDescent="0.3"/>
    <row r="993" s="1" customFormat="1" x14ac:dyDescent="0.3"/>
    <row r="994" s="1" customFormat="1" x14ac:dyDescent="0.3"/>
    <row r="995" s="1" customFormat="1" x14ac:dyDescent="0.3"/>
    <row r="996" s="1" customFormat="1" x14ac:dyDescent="0.3"/>
    <row r="997" s="1" customFormat="1" x14ac:dyDescent="0.3"/>
    <row r="998" s="1" customFormat="1" x14ac:dyDescent="0.3"/>
    <row r="999" s="1" customFormat="1" x14ac:dyDescent="0.3"/>
    <row r="1000" s="1" customFormat="1" x14ac:dyDescent="0.3"/>
    <row r="1001" s="1" customFormat="1" x14ac:dyDescent="0.3"/>
    <row r="1002" s="1" customFormat="1" x14ac:dyDescent="0.3"/>
    <row r="1003" s="1" customFormat="1" x14ac:dyDescent="0.3"/>
    <row r="1004" s="1" customFormat="1" x14ac:dyDescent="0.3"/>
    <row r="1005" s="1" customFormat="1" x14ac:dyDescent="0.3"/>
    <row r="1006" s="1" customFormat="1" x14ac:dyDescent="0.3"/>
    <row r="1007" s="1" customFormat="1" x14ac:dyDescent="0.3"/>
    <row r="1008" s="1" customFormat="1" x14ac:dyDescent="0.3"/>
    <row r="1009" s="1" customFormat="1" x14ac:dyDescent="0.3"/>
    <row r="1010" s="1" customFormat="1" x14ac:dyDescent="0.3"/>
    <row r="1011" s="1" customFormat="1" x14ac:dyDescent="0.3"/>
    <row r="1012" s="1" customFormat="1" x14ac:dyDescent="0.3"/>
    <row r="1013" s="1" customFormat="1" x14ac:dyDescent="0.3"/>
    <row r="1014" s="1" customFormat="1" x14ac:dyDescent="0.3"/>
    <row r="1015" s="1" customFormat="1" x14ac:dyDescent="0.3"/>
    <row r="1016" s="1" customFormat="1" x14ac:dyDescent="0.3"/>
    <row r="1017" s="1" customFormat="1" x14ac:dyDescent="0.3"/>
    <row r="1018" s="1" customFormat="1" x14ac:dyDescent="0.3"/>
    <row r="1019" s="1" customFormat="1" x14ac:dyDescent="0.3"/>
    <row r="1020" s="1" customFormat="1" x14ac:dyDescent="0.3"/>
    <row r="1021" s="1" customFormat="1" x14ac:dyDescent="0.3"/>
    <row r="1022" s="1" customFormat="1" x14ac:dyDescent="0.3"/>
    <row r="1023" s="1" customFormat="1" x14ac:dyDescent="0.3"/>
    <row r="1024" s="1" customFormat="1" x14ac:dyDescent="0.3"/>
    <row r="1025" s="1" customFormat="1" x14ac:dyDescent="0.3"/>
    <row r="1026" s="1" customFormat="1" x14ac:dyDescent="0.3"/>
    <row r="1027" s="1" customFormat="1" x14ac:dyDescent="0.3"/>
    <row r="1028" s="1" customFormat="1" x14ac:dyDescent="0.3"/>
    <row r="1029" s="1" customFormat="1" x14ac:dyDescent="0.3"/>
    <row r="1030" s="1" customFormat="1" x14ac:dyDescent="0.3"/>
    <row r="1031" s="1" customFormat="1" x14ac:dyDescent="0.3"/>
    <row r="1032" s="1" customFormat="1" x14ac:dyDescent="0.3"/>
    <row r="1033" s="1" customFormat="1" x14ac:dyDescent="0.3"/>
    <row r="1034" s="1" customFormat="1" x14ac:dyDescent="0.3"/>
    <row r="1035" s="1" customFormat="1" x14ac:dyDescent="0.3"/>
    <row r="1036" s="1" customFormat="1" x14ac:dyDescent="0.3"/>
    <row r="1037" s="1" customFormat="1" x14ac:dyDescent="0.3"/>
    <row r="1038" s="1" customFormat="1" x14ac:dyDescent="0.3"/>
    <row r="1039" s="1" customFormat="1" x14ac:dyDescent="0.3"/>
    <row r="1040" s="1" customFormat="1" x14ac:dyDescent="0.3"/>
    <row r="1041" s="1" customFormat="1" x14ac:dyDescent="0.3"/>
    <row r="1042" s="1" customFormat="1" x14ac:dyDescent="0.3"/>
    <row r="1043" s="1" customFormat="1" x14ac:dyDescent="0.3"/>
    <row r="1044" s="1" customFormat="1" x14ac:dyDescent="0.3"/>
    <row r="1045" s="1" customFormat="1" x14ac:dyDescent="0.3"/>
    <row r="1046" s="1" customFormat="1" x14ac:dyDescent="0.3"/>
    <row r="1047" s="1" customFormat="1" x14ac:dyDescent="0.3"/>
    <row r="1048" s="1" customFormat="1" x14ac:dyDescent="0.3"/>
    <row r="1049" s="1" customFormat="1" x14ac:dyDescent="0.3"/>
    <row r="1050" s="1" customFormat="1" x14ac:dyDescent="0.3"/>
    <row r="1051" s="1" customFormat="1" x14ac:dyDescent="0.3"/>
    <row r="1052" s="1" customFormat="1" x14ac:dyDescent="0.3"/>
    <row r="1053" s="1" customFormat="1" x14ac:dyDescent="0.3"/>
    <row r="1054" s="1" customFormat="1" x14ac:dyDescent="0.3"/>
    <row r="1055" s="1" customFormat="1" x14ac:dyDescent="0.3"/>
    <row r="1056" s="1" customFormat="1" x14ac:dyDescent="0.3"/>
    <row r="1057" s="1" customFormat="1" x14ac:dyDescent="0.3"/>
    <row r="1058" s="1" customFormat="1" x14ac:dyDescent="0.3"/>
    <row r="1059" s="1" customFormat="1" x14ac:dyDescent="0.3"/>
    <row r="1060" s="1" customFormat="1" x14ac:dyDescent="0.3"/>
    <row r="1061" s="1" customFormat="1" x14ac:dyDescent="0.3"/>
    <row r="1062" s="1" customFormat="1" x14ac:dyDescent="0.3"/>
    <row r="1063" s="1" customFormat="1" x14ac:dyDescent="0.3"/>
    <row r="1064" s="1" customFormat="1" x14ac:dyDescent="0.3"/>
    <row r="1065" s="1" customFormat="1" x14ac:dyDescent="0.3"/>
    <row r="1066" s="1" customFormat="1" x14ac:dyDescent="0.3"/>
    <row r="1067" s="1" customFormat="1" x14ac:dyDescent="0.3"/>
    <row r="1068" s="1" customFormat="1" x14ac:dyDescent="0.3"/>
    <row r="1069" s="1" customFormat="1" x14ac:dyDescent="0.3"/>
    <row r="1070" s="1" customFormat="1" x14ac:dyDescent="0.3"/>
    <row r="1071" s="1" customFormat="1" x14ac:dyDescent="0.3"/>
    <row r="1072" s="1" customFormat="1" x14ac:dyDescent="0.3"/>
    <row r="1073" s="1" customFormat="1" x14ac:dyDescent="0.3"/>
    <row r="1074" s="1" customFormat="1" x14ac:dyDescent="0.3"/>
    <row r="1075" s="1" customFormat="1" x14ac:dyDescent="0.3"/>
    <row r="1076" s="1" customFormat="1" x14ac:dyDescent="0.3"/>
    <row r="1077" s="1" customFormat="1" x14ac:dyDescent="0.3"/>
    <row r="1078" s="1" customFormat="1" x14ac:dyDescent="0.3"/>
    <row r="1079" s="1" customFormat="1" x14ac:dyDescent="0.3"/>
    <row r="1080" s="1" customFormat="1" x14ac:dyDescent="0.3"/>
    <row r="1081" s="1" customFormat="1" x14ac:dyDescent="0.3"/>
    <row r="1082" s="1" customFormat="1" x14ac:dyDescent="0.3"/>
    <row r="1083" s="1" customFormat="1" x14ac:dyDescent="0.3"/>
    <row r="1084" s="1" customFormat="1" x14ac:dyDescent="0.3"/>
    <row r="1085" s="1" customFormat="1" x14ac:dyDescent="0.3"/>
    <row r="1086" s="1" customFormat="1" x14ac:dyDescent="0.3"/>
    <row r="1087" s="1" customFormat="1" x14ac:dyDescent="0.3"/>
    <row r="1088" s="1" customFormat="1" x14ac:dyDescent="0.3"/>
    <row r="1089" s="1" customFormat="1" x14ac:dyDescent="0.3"/>
    <row r="1090" s="1" customFormat="1" x14ac:dyDescent="0.3"/>
    <row r="1091" s="1" customFormat="1" x14ac:dyDescent="0.3"/>
    <row r="1092" s="1" customFormat="1" x14ac:dyDescent="0.3"/>
    <row r="1093" s="1" customFormat="1" x14ac:dyDescent="0.3"/>
    <row r="1094" s="1" customFormat="1" x14ac:dyDescent="0.3"/>
    <row r="1095" s="1" customFormat="1" x14ac:dyDescent="0.3"/>
    <row r="1096" s="1" customFormat="1" x14ac:dyDescent="0.3"/>
    <row r="1097" s="1" customFormat="1" x14ac:dyDescent="0.3"/>
    <row r="1098" s="1" customFormat="1" x14ac:dyDescent="0.3"/>
    <row r="1099" s="1" customFormat="1" x14ac:dyDescent="0.3"/>
    <row r="1100" s="1" customFormat="1" x14ac:dyDescent="0.3"/>
    <row r="1101" s="1" customFormat="1" x14ac:dyDescent="0.3"/>
    <row r="1102" s="1" customFormat="1" x14ac:dyDescent="0.3"/>
    <row r="1103" s="1" customFormat="1" x14ac:dyDescent="0.3"/>
    <row r="1104" s="1" customFormat="1" x14ac:dyDescent="0.3"/>
    <row r="1105" s="1" customFormat="1" x14ac:dyDescent="0.3"/>
    <row r="1106" s="1" customFormat="1" x14ac:dyDescent="0.3"/>
    <row r="1107" s="1" customFormat="1" x14ac:dyDescent="0.3"/>
    <row r="1108" s="1" customFormat="1" x14ac:dyDescent="0.3"/>
    <row r="1109" s="1" customFormat="1" x14ac:dyDescent="0.3"/>
    <row r="1110" s="1" customFormat="1" x14ac:dyDescent="0.3"/>
    <row r="1111" s="1" customFormat="1" x14ac:dyDescent="0.3"/>
    <row r="1112" s="1" customFormat="1" x14ac:dyDescent="0.3"/>
    <row r="1113" s="1" customFormat="1" x14ac:dyDescent="0.3"/>
    <row r="1114" s="1" customFormat="1" x14ac:dyDescent="0.3"/>
    <row r="1115" s="1" customFormat="1" x14ac:dyDescent="0.3"/>
    <row r="1116" s="1" customFormat="1" x14ac:dyDescent="0.3"/>
    <row r="1117" s="1" customFormat="1" x14ac:dyDescent="0.3"/>
    <row r="1118" s="1" customFormat="1" x14ac:dyDescent="0.3"/>
    <row r="1119" s="1" customFormat="1" x14ac:dyDescent="0.3"/>
    <row r="1120" s="1" customFormat="1" x14ac:dyDescent="0.3"/>
    <row r="1121" s="1" customFormat="1" x14ac:dyDescent="0.3"/>
    <row r="1122" s="1" customFormat="1" x14ac:dyDescent="0.3"/>
    <row r="1123" s="1" customFormat="1" x14ac:dyDescent="0.3"/>
    <row r="1124" s="1" customFormat="1" x14ac:dyDescent="0.3"/>
    <row r="1125" s="1" customFormat="1" x14ac:dyDescent="0.3"/>
    <row r="1126" s="1" customFormat="1" x14ac:dyDescent="0.3"/>
    <row r="1127" s="1" customFormat="1" x14ac:dyDescent="0.3"/>
    <row r="1128" s="1" customFormat="1" x14ac:dyDescent="0.3"/>
    <row r="1129" s="1" customFormat="1" x14ac:dyDescent="0.3"/>
    <row r="1130" s="1" customFormat="1" x14ac:dyDescent="0.3"/>
    <row r="1131" s="1" customFormat="1" x14ac:dyDescent="0.3"/>
    <row r="1132" s="1" customFormat="1" x14ac:dyDescent="0.3"/>
    <row r="1133" s="1" customFormat="1" x14ac:dyDescent="0.3"/>
    <row r="1134" s="1" customFormat="1" x14ac:dyDescent="0.3"/>
    <row r="1135" s="1" customFormat="1" x14ac:dyDescent="0.3"/>
    <row r="1136" s="1" customFormat="1" x14ac:dyDescent="0.3"/>
    <row r="1137" s="1" customFormat="1" x14ac:dyDescent="0.3"/>
    <row r="1138" s="1" customFormat="1" x14ac:dyDescent="0.3"/>
    <row r="1139" s="1" customFormat="1" x14ac:dyDescent="0.3"/>
    <row r="1140" s="1" customFormat="1" x14ac:dyDescent="0.3"/>
    <row r="1141" s="1" customFormat="1" x14ac:dyDescent="0.3"/>
    <row r="1142" s="1" customFormat="1" x14ac:dyDescent="0.3"/>
    <row r="1143" s="1" customFormat="1" x14ac:dyDescent="0.3"/>
    <row r="1144" s="1" customFormat="1" x14ac:dyDescent="0.3"/>
    <row r="1145" s="1" customFormat="1" x14ac:dyDescent="0.3"/>
    <row r="1146" s="1" customFormat="1" x14ac:dyDescent="0.3"/>
    <row r="1147" s="1" customFormat="1" x14ac:dyDescent="0.3"/>
    <row r="1148" s="1" customFormat="1" x14ac:dyDescent="0.3"/>
    <row r="1149" s="1" customFormat="1" x14ac:dyDescent="0.3"/>
    <row r="1150" s="1" customFormat="1" x14ac:dyDescent="0.3"/>
    <row r="1151" s="1" customFormat="1" x14ac:dyDescent="0.3"/>
    <row r="1152" s="1" customFormat="1" x14ac:dyDescent="0.3"/>
    <row r="1153" s="1" customFormat="1" x14ac:dyDescent="0.3"/>
    <row r="1154" s="1" customFormat="1" x14ac:dyDescent="0.3"/>
    <row r="1155" s="1" customFormat="1" x14ac:dyDescent="0.3"/>
    <row r="1156" s="1" customFormat="1" x14ac:dyDescent="0.3"/>
    <row r="1157" s="1" customFormat="1" x14ac:dyDescent="0.3"/>
    <row r="1158" s="1" customFormat="1" x14ac:dyDescent="0.3"/>
    <row r="1159" s="1" customFormat="1" x14ac:dyDescent="0.3"/>
    <row r="1160" s="1" customFormat="1" x14ac:dyDescent="0.3"/>
    <row r="1161" s="1" customFormat="1" x14ac:dyDescent="0.3"/>
    <row r="1162" s="1" customFormat="1" x14ac:dyDescent="0.3"/>
    <row r="1163" s="1" customFormat="1" x14ac:dyDescent="0.3"/>
    <row r="1164" s="1" customFormat="1" x14ac:dyDescent="0.3"/>
    <row r="1165" s="1" customFormat="1" x14ac:dyDescent="0.3"/>
    <row r="1166" s="1" customFormat="1" x14ac:dyDescent="0.3"/>
    <row r="1167" s="1" customFormat="1" x14ac:dyDescent="0.3"/>
    <row r="1168" s="1" customFormat="1" x14ac:dyDescent="0.3"/>
    <row r="1169" s="1" customFormat="1" x14ac:dyDescent="0.3"/>
    <row r="1170" s="1" customFormat="1" x14ac:dyDescent="0.3"/>
    <row r="1171" s="1" customFormat="1" x14ac:dyDescent="0.3"/>
    <row r="1172" s="1" customFormat="1" x14ac:dyDescent="0.3"/>
    <row r="1173" s="1" customFormat="1" x14ac:dyDescent="0.3"/>
    <row r="1174" s="1" customFormat="1" x14ac:dyDescent="0.3"/>
    <row r="1175" s="1" customFormat="1" x14ac:dyDescent="0.3"/>
    <row r="1176" s="1" customFormat="1" x14ac:dyDescent="0.3"/>
    <row r="1177" s="1" customFormat="1" x14ac:dyDescent="0.3"/>
    <row r="1178" s="1" customFormat="1" x14ac:dyDescent="0.3"/>
    <row r="1179" s="1" customFormat="1" x14ac:dyDescent="0.3"/>
    <row r="1180" s="1" customFormat="1" x14ac:dyDescent="0.3"/>
    <row r="1181" s="1" customFormat="1" x14ac:dyDescent="0.3"/>
    <row r="1182" s="1" customFormat="1" x14ac:dyDescent="0.3"/>
    <row r="1183" s="1" customFormat="1" x14ac:dyDescent="0.3"/>
    <row r="1184" s="1" customFormat="1" x14ac:dyDescent="0.3"/>
    <row r="1185" s="1" customFormat="1" x14ac:dyDescent="0.3"/>
    <row r="1186" s="1" customFormat="1" x14ac:dyDescent="0.3"/>
    <row r="1187" s="1" customFormat="1" x14ac:dyDescent="0.3"/>
    <row r="1188" s="1" customFormat="1" x14ac:dyDescent="0.3"/>
    <row r="1189" s="1" customFormat="1" x14ac:dyDescent="0.3"/>
    <row r="1190" s="1" customFormat="1" x14ac:dyDescent="0.3"/>
    <row r="1191" s="1" customFormat="1" x14ac:dyDescent="0.3"/>
    <row r="1192" s="1" customFormat="1" x14ac:dyDescent="0.3"/>
    <row r="1193" s="1" customFormat="1" x14ac:dyDescent="0.3"/>
    <row r="1194" s="1" customFormat="1" x14ac:dyDescent="0.3"/>
    <row r="1195" s="1" customFormat="1" x14ac:dyDescent="0.3"/>
    <row r="1196" s="1" customFormat="1" x14ac:dyDescent="0.3"/>
    <row r="1197" s="1" customFormat="1" x14ac:dyDescent="0.3"/>
    <row r="1198" s="1" customFormat="1" x14ac:dyDescent="0.3"/>
    <row r="1199" s="1" customFormat="1" x14ac:dyDescent="0.3"/>
    <row r="1200" s="1" customFormat="1" x14ac:dyDescent="0.3"/>
    <row r="1201" s="1" customFormat="1" x14ac:dyDescent="0.3"/>
    <row r="1202" s="1" customFormat="1" x14ac:dyDescent="0.3"/>
    <row r="1203" s="1" customFormat="1" x14ac:dyDescent="0.3"/>
    <row r="1204" s="1" customFormat="1" x14ac:dyDescent="0.3"/>
    <row r="1205" s="1" customFormat="1" x14ac:dyDescent="0.3"/>
    <row r="1206" s="1" customFormat="1" x14ac:dyDescent="0.3"/>
    <row r="1207" s="1" customFormat="1" x14ac:dyDescent="0.3"/>
    <row r="1208" s="1" customFormat="1" x14ac:dyDescent="0.3"/>
    <row r="1209" s="1" customFormat="1" x14ac:dyDescent="0.3"/>
    <row r="1210" s="1" customFormat="1" x14ac:dyDescent="0.3"/>
    <row r="1211" s="1" customFormat="1" x14ac:dyDescent="0.3"/>
    <row r="1212" s="1" customFormat="1" x14ac:dyDescent="0.3"/>
    <row r="1213" s="1" customFormat="1" x14ac:dyDescent="0.3"/>
    <row r="1214" s="1" customFormat="1" x14ac:dyDescent="0.3"/>
    <row r="1215" s="1" customFormat="1" x14ac:dyDescent="0.3"/>
    <row r="1216" s="1" customFormat="1" x14ac:dyDescent="0.3"/>
    <row r="1217" s="1" customFormat="1" x14ac:dyDescent="0.3"/>
    <row r="1218" s="1" customFormat="1" x14ac:dyDescent="0.3"/>
    <row r="1219" s="1" customFormat="1" x14ac:dyDescent="0.3"/>
    <row r="1220" s="1" customFormat="1" x14ac:dyDescent="0.3"/>
    <row r="1221" s="1" customFormat="1" x14ac:dyDescent="0.3"/>
    <row r="1222" s="1" customFormat="1" x14ac:dyDescent="0.3"/>
    <row r="1223" s="1" customFormat="1" x14ac:dyDescent="0.3"/>
    <row r="1224" s="1" customFormat="1" x14ac:dyDescent="0.3"/>
    <row r="1225" s="1" customFormat="1" x14ac:dyDescent="0.3"/>
    <row r="1226" s="1" customFormat="1" x14ac:dyDescent="0.3"/>
    <row r="1227" s="1" customFormat="1" x14ac:dyDescent="0.3"/>
    <row r="1228" s="1" customFormat="1" x14ac:dyDescent="0.3"/>
    <row r="1229" s="1" customFormat="1" x14ac:dyDescent="0.3"/>
    <row r="1230" s="1" customFormat="1" x14ac:dyDescent="0.3"/>
    <row r="1231" s="1" customFormat="1" x14ac:dyDescent="0.3"/>
    <row r="1232" s="1" customFormat="1" x14ac:dyDescent="0.3"/>
    <row r="1233" s="1" customFormat="1" x14ac:dyDescent="0.3"/>
    <row r="1234" s="1" customFormat="1" x14ac:dyDescent="0.3"/>
    <row r="1235" s="1" customFormat="1" x14ac:dyDescent="0.3"/>
    <row r="1236" s="1" customFormat="1" x14ac:dyDescent="0.3"/>
    <row r="1237" s="1" customFormat="1" x14ac:dyDescent="0.3"/>
    <row r="1238" s="1" customFormat="1" x14ac:dyDescent="0.3"/>
    <row r="1239" s="1" customFormat="1" x14ac:dyDescent="0.3"/>
    <row r="1240" s="1" customFormat="1" x14ac:dyDescent="0.3"/>
    <row r="1241" s="1" customFormat="1" x14ac:dyDescent="0.3"/>
    <row r="1242" s="1" customFormat="1" x14ac:dyDescent="0.3"/>
    <row r="1243" s="1" customFormat="1" x14ac:dyDescent="0.3"/>
    <row r="1244" s="1" customFormat="1" x14ac:dyDescent="0.3"/>
    <row r="1245" s="1" customFormat="1" x14ac:dyDescent="0.3"/>
    <row r="1246" s="1" customFormat="1" x14ac:dyDescent="0.3"/>
    <row r="1247" s="1" customFormat="1" x14ac:dyDescent="0.3"/>
    <row r="1248" s="1" customFormat="1" x14ac:dyDescent="0.3"/>
    <row r="1249" s="1" customFormat="1" x14ac:dyDescent="0.3"/>
    <row r="1250" s="1" customFormat="1" x14ac:dyDescent="0.3"/>
    <row r="1251" s="1" customFormat="1" x14ac:dyDescent="0.3"/>
    <row r="1252" s="1" customFormat="1" x14ac:dyDescent="0.3"/>
    <row r="1253" s="1" customFormat="1" x14ac:dyDescent="0.3"/>
    <row r="1254" s="1" customFormat="1" x14ac:dyDescent="0.3"/>
    <row r="1255" s="1" customFormat="1" x14ac:dyDescent="0.3"/>
    <row r="1256" s="1" customFormat="1" x14ac:dyDescent="0.3"/>
    <row r="1257" s="1" customFormat="1" x14ac:dyDescent="0.3"/>
    <row r="1258" s="1" customFormat="1" x14ac:dyDescent="0.3"/>
    <row r="1259" s="1" customFormat="1" x14ac:dyDescent="0.3"/>
    <row r="1260" s="1" customFormat="1" x14ac:dyDescent="0.3"/>
    <row r="1261" s="1" customFormat="1" x14ac:dyDescent="0.3"/>
    <row r="1262" s="1" customFormat="1" x14ac:dyDescent="0.3"/>
    <row r="1263" s="1" customFormat="1" x14ac:dyDescent="0.3"/>
    <row r="1264" s="1" customFormat="1" x14ac:dyDescent="0.3"/>
    <row r="1265" s="1" customFormat="1" x14ac:dyDescent="0.3"/>
    <row r="1266" s="1" customFormat="1" x14ac:dyDescent="0.3"/>
    <row r="1267" s="1" customFormat="1" x14ac:dyDescent="0.3"/>
    <row r="1268" s="1" customFormat="1" x14ac:dyDescent="0.3"/>
    <row r="1269" s="1" customFormat="1" x14ac:dyDescent="0.3"/>
    <row r="1270" s="1" customFormat="1" x14ac:dyDescent="0.3"/>
    <row r="1271" s="1" customFormat="1" x14ac:dyDescent="0.3"/>
    <row r="1272" s="1" customFormat="1" x14ac:dyDescent="0.3"/>
    <row r="1273" s="1" customFormat="1" x14ac:dyDescent="0.3"/>
    <row r="1274" s="1" customFormat="1" x14ac:dyDescent="0.3"/>
    <row r="1275" s="1" customFormat="1" x14ac:dyDescent="0.3"/>
    <row r="1276" s="1" customFormat="1" x14ac:dyDescent="0.3"/>
    <row r="1277" s="1" customFormat="1" x14ac:dyDescent="0.3"/>
    <row r="1278" s="1" customFormat="1" x14ac:dyDescent="0.3"/>
    <row r="1279" s="1" customFormat="1" x14ac:dyDescent="0.3"/>
    <row r="1280" s="1" customFormat="1" x14ac:dyDescent="0.3"/>
    <row r="1281" s="1" customFormat="1" x14ac:dyDescent="0.3"/>
    <row r="1282" s="1" customFormat="1" x14ac:dyDescent="0.3"/>
    <row r="1283" s="1" customFormat="1" x14ac:dyDescent="0.3"/>
    <row r="1284" s="1" customFormat="1" x14ac:dyDescent="0.3"/>
    <row r="1285" s="1" customFormat="1" x14ac:dyDescent="0.3"/>
    <row r="1286" s="1" customFormat="1" x14ac:dyDescent="0.3"/>
    <row r="1287" s="1" customFormat="1" x14ac:dyDescent="0.3"/>
    <row r="1288" s="1" customFormat="1" x14ac:dyDescent="0.3"/>
    <row r="1289" s="1" customFormat="1" x14ac:dyDescent="0.3"/>
    <row r="1290" s="1" customFormat="1" x14ac:dyDescent="0.3"/>
    <row r="1291" s="1" customFormat="1" x14ac:dyDescent="0.3"/>
    <row r="1292" s="1" customFormat="1" x14ac:dyDescent="0.3"/>
    <row r="1293" s="1" customFormat="1" x14ac:dyDescent="0.3"/>
    <row r="1294" s="1" customFormat="1" x14ac:dyDescent="0.3"/>
    <row r="1295" s="1" customFormat="1" x14ac:dyDescent="0.3"/>
    <row r="1296" s="1" customFormat="1" x14ac:dyDescent="0.3"/>
    <row r="1297" s="1" customFormat="1" x14ac:dyDescent="0.3"/>
    <row r="1298" s="1" customFormat="1" x14ac:dyDescent="0.3"/>
    <row r="1299" s="1" customFormat="1" x14ac:dyDescent="0.3"/>
    <row r="1300" s="1" customFormat="1" x14ac:dyDescent="0.3"/>
    <row r="1301" s="1" customFormat="1" x14ac:dyDescent="0.3"/>
    <row r="1302" s="1" customFormat="1" x14ac:dyDescent="0.3"/>
    <row r="1303" s="1" customFormat="1" x14ac:dyDescent="0.3"/>
    <row r="1304" s="1" customFormat="1" x14ac:dyDescent="0.3"/>
    <row r="1305" s="1" customFormat="1" x14ac:dyDescent="0.3"/>
    <row r="1306" s="1" customFormat="1" x14ac:dyDescent="0.3"/>
    <row r="1307" s="1" customFormat="1" x14ac:dyDescent="0.3"/>
    <row r="1308" s="1" customFormat="1" x14ac:dyDescent="0.3"/>
    <row r="1309" s="1" customFormat="1" x14ac:dyDescent="0.3"/>
    <row r="1310" s="1" customFormat="1" x14ac:dyDescent="0.3"/>
    <row r="1311" s="1" customFormat="1" x14ac:dyDescent="0.3"/>
    <row r="1312" s="1" customFormat="1" x14ac:dyDescent="0.3"/>
    <row r="1313" s="1" customFormat="1" x14ac:dyDescent="0.3"/>
    <row r="1314" s="1" customFormat="1" x14ac:dyDescent="0.3"/>
    <row r="1315" s="1" customFormat="1" x14ac:dyDescent="0.3"/>
    <row r="1316" s="1" customFormat="1" x14ac:dyDescent="0.3"/>
    <row r="1317" s="1" customFormat="1" x14ac:dyDescent="0.3"/>
    <row r="1318" s="1" customFormat="1" x14ac:dyDescent="0.3"/>
    <row r="1319" s="1" customFormat="1" x14ac:dyDescent="0.3"/>
    <row r="1320" s="1" customFormat="1" x14ac:dyDescent="0.3"/>
    <row r="1321" s="1" customFormat="1" x14ac:dyDescent="0.3"/>
    <row r="1322" s="1" customFormat="1" x14ac:dyDescent="0.3"/>
    <row r="1323" s="1" customFormat="1" x14ac:dyDescent="0.3"/>
    <row r="1324" s="1" customFormat="1" x14ac:dyDescent="0.3"/>
    <row r="1325" s="1" customFormat="1" x14ac:dyDescent="0.3"/>
    <row r="1326" s="1" customFormat="1" x14ac:dyDescent="0.3"/>
    <row r="1327" s="1" customFormat="1" x14ac:dyDescent="0.3"/>
    <row r="1328" s="1" customFormat="1" x14ac:dyDescent="0.3"/>
    <row r="1329" s="1" customFormat="1" x14ac:dyDescent="0.3"/>
    <row r="1330" s="1" customFormat="1" x14ac:dyDescent="0.3"/>
    <row r="1331" s="1" customFormat="1" x14ac:dyDescent="0.3"/>
    <row r="1332" s="1" customFormat="1" x14ac:dyDescent="0.3"/>
    <row r="1333" s="1" customFormat="1" x14ac:dyDescent="0.3"/>
    <row r="1334" s="1" customFormat="1" x14ac:dyDescent="0.3"/>
    <row r="1335" s="1" customFormat="1" x14ac:dyDescent="0.3"/>
    <row r="1336" s="1" customFormat="1" x14ac:dyDescent="0.3"/>
    <row r="1337" s="1" customFormat="1" x14ac:dyDescent="0.3"/>
    <row r="1338" s="1" customFormat="1" x14ac:dyDescent="0.3"/>
    <row r="1339" s="1" customFormat="1" x14ac:dyDescent="0.3"/>
    <row r="1340" s="1" customFormat="1" x14ac:dyDescent="0.3"/>
    <row r="1341" s="1" customFormat="1" x14ac:dyDescent="0.3"/>
    <row r="1342" s="1" customFormat="1" x14ac:dyDescent="0.3"/>
    <row r="1343" s="1" customFormat="1" x14ac:dyDescent="0.3"/>
    <row r="1344" s="1" customFormat="1" x14ac:dyDescent="0.3"/>
    <row r="1345" s="1" customFormat="1" x14ac:dyDescent="0.3"/>
    <row r="1346" s="1" customFormat="1" x14ac:dyDescent="0.3"/>
    <row r="1347" s="1" customFormat="1" x14ac:dyDescent="0.3"/>
    <row r="1348" s="1" customFormat="1" x14ac:dyDescent="0.3"/>
    <row r="1349" s="1" customFormat="1" x14ac:dyDescent="0.3"/>
    <row r="1350" s="1" customFormat="1" x14ac:dyDescent="0.3"/>
    <row r="1351" s="1" customFormat="1" x14ac:dyDescent="0.3"/>
    <row r="1352" s="1" customFormat="1" x14ac:dyDescent="0.3"/>
    <row r="1353" s="1" customFormat="1" x14ac:dyDescent="0.3"/>
    <row r="1354" s="1" customFormat="1" x14ac:dyDescent="0.3"/>
    <row r="1355" s="1" customFormat="1" x14ac:dyDescent="0.3"/>
    <row r="1356" s="1" customFormat="1" x14ac:dyDescent="0.3"/>
    <row r="1357" s="1" customFormat="1" x14ac:dyDescent="0.3"/>
    <row r="1358" s="1" customFormat="1" x14ac:dyDescent="0.3"/>
    <row r="1359" s="1" customFormat="1" x14ac:dyDescent="0.3"/>
    <row r="1360" s="1" customFormat="1" x14ac:dyDescent="0.3"/>
    <row r="1361" s="1" customFormat="1" x14ac:dyDescent="0.3"/>
    <row r="1362" s="1" customFormat="1" x14ac:dyDescent="0.3"/>
    <row r="1363" s="1" customFormat="1" x14ac:dyDescent="0.3"/>
    <row r="1364" s="1" customFormat="1" x14ac:dyDescent="0.3"/>
    <row r="1365" s="1" customFormat="1" x14ac:dyDescent="0.3"/>
    <row r="1366" s="1" customFormat="1" x14ac:dyDescent="0.3"/>
    <row r="1367" s="1" customFormat="1" x14ac:dyDescent="0.3"/>
    <row r="1368" s="1" customFormat="1" x14ac:dyDescent="0.3"/>
    <row r="1369" s="1" customFormat="1" x14ac:dyDescent="0.3"/>
    <row r="1370" s="1" customFormat="1" x14ac:dyDescent="0.3"/>
    <row r="1371" s="1" customFormat="1" x14ac:dyDescent="0.3"/>
    <row r="1372" s="1" customFormat="1" x14ac:dyDescent="0.3"/>
    <row r="1373" s="1" customFormat="1" x14ac:dyDescent="0.3"/>
    <row r="1374" s="1" customFormat="1" x14ac:dyDescent="0.3"/>
    <row r="1375" s="1" customFormat="1" x14ac:dyDescent="0.3"/>
    <row r="1376" s="1" customFormat="1" x14ac:dyDescent="0.3"/>
    <row r="1377" s="1" customFormat="1" x14ac:dyDescent="0.3"/>
    <row r="1378" s="1" customFormat="1" x14ac:dyDescent="0.3"/>
    <row r="1379" s="1" customFormat="1" x14ac:dyDescent="0.3"/>
    <row r="1380" s="1" customFormat="1" x14ac:dyDescent="0.3"/>
    <row r="1381" s="1" customFormat="1" x14ac:dyDescent="0.3"/>
    <row r="1382" s="1" customFormat="1" x14ac:dyDescent="0.3"/>
    <row r="1383" s="1" customFormat="1" x14ac:dyDescent="0.3"/>
    <row r="1384" s="1" customFormat="1" x14ac:dyDescent="0.3"/>
    <row r="1385" s="1" customFormat="1" x14ac:dyDescent="0.3"/>
    <row r="1386" s="1" customFormat="1" x14ac:dyDescent="0.3"/>
    <row r="1387" s="1" customFormat="1" x14ac:dyDescent="0.3"/>
    <row r="1388" s="1" customFormat="1" x14ac:dyDescent="0.3"/>
    <row r="1389" s="1" customFormat="1" x14ac:dyDescent="0.3"/>
    <row r="1390" s="1" customFormat="1" x14ac:dyDescent="0.3"/>
    <row r="1391" s="1" customFormat="1" x14ac:dyDescent="0.3"/>
    <row r="1392" s="1" customFormat="1" x14ac:dyDescent="0.3"/>
    <row r="1393" s="1" customFormat="1" x14ac:dyDescent="0.3"/>
    <row r="1394" s="1" customFormat="1" x14ac:dyDescent="0.3"/>
    <row r="1395" s="1" customFormat="1" x14ac:dyDescent="0.3"/>
    <row r="1396" s="1" customFormat="1" x14ac:dyDescent="0.3"/>
    <row r="1397" s="1" customFormat="1" x14ac:dyDescent="0.3"/>
    <row r="1398" s="1" customFormat="1" x14ac:dyDescent="0.3"/>
    <row r="1399" s="1" customFormat="1" x14ac:dyDescent="0.3"/>
    <row r="1400" s="1" customFormat="1" x14ac:dyDescent="0.3"/>
    <row r="1401" s="1" customFormat="1" x14ac:dyDescent="0.3"/>
    <row r="1402" s="1" customFormat="1" x14ac:dyDescent="0.3"/>
    <row r="1403" s="1" customFormat="1" x14ac:dyDescent="0.3"/>
    <row r="1404" s="1" customFormat="1" x14ac:dyDescent="0.3"/>
    <row r="1405" s="1" customFormat="1" x14ac:dyDescent="0.3"/>
    <row r="1406" s="1" customFormat="1" x14ac:dyDescent="0.3"/>
    <row r="1407" s="1" customFormat="1" x14ac:dyDescent="0.3"/>
    <row r="1408" s="1" customFormat="1" x14ac:dyDescent="0.3"/>
    <row r="1409" s="1" customFormat="1" x14ac:dyDescent="0.3"/>
    <row r="1410" s="1" customFormat="1" x14ac:dyDescent="0.3"/>
    <row r="1411" s="1" customFormat="1" x14ac:dyDescent="0.3"/>
    <row r="1412" s="1" customFormat="1" x14ac:dyDescent="0.3"/>
    <row r="1413" s="1" customFormat="1" x14ac:dyDescent="0.3"/>
    <row r="1414" s="1" customFormat="1" x14ac:dyDescent="0.3"/>
    <row r="1415" s="1" customFormat="1" x14ac:dyDescent="0.3"/>
    <row r="1416" s="1" customFormat="1" x14ac:dyDescent="0.3"/>
    <row r="1417" s="1" customFormat="1" x14ac:dyDescent="0.3"/>
    <row r="1418" s="1" customFormat="1" x14ac:dyDescent="0.3"/>
    <row r="1419" s="1" customFormat="1" x14ac:dyDescent="0.3"/>
    <row r="1420" s="1" customFormat="1" x14ac:dyDescent="0.3"/>
    <row r="1421" s="1" customFormat="1" x14ac:dyDescent="0.3"/>
    <row r="1422" s="1" customFormat="1" x14ac:dyDescent="0.3"/>
    <row r="1423" s="1" customFormat="1" x14ac:dyDescent="0.3"/>
    <row r="1424" s="1" customFormat="1" x14ac:dyDescent="0.3"/>
    <row r="1425" s="1" customFormat="1" x14ac:dyDescent="0.3"/>
    <row r="1426" s="1" customFormat="1" x14ac:dyDescent="0.3"/>
    <row r="1427" s="1" customFormat="1" x14ac:dyDescent="0.3"/>
    <row r="1428" s="1" customFormat="1" x14ac:dyDescent="0.3"/>
    <row r="1429" s="1" customFormat="1" x14ac:dyDescent="0.3"/>
    <row r="1430" s="1" customFormat="1" x14ac:dyDescent="0.3"/>
    <row r="1431" s="1" customFormat="1" x14ac:dyDescent="0.3"/>
    <row r="1432" s="1" customFormat="1" x14ac:dyDescent="0.3"/>
    <row r="1433" s="1" customFormat="1" x14ac:dyDescent="0.3"/>
    <row r="1434" s="1" customFormat="1" x14ac:dyDescent="0.3"/>
    <row r="1435" s="1" customFormat="1" x14ac:dyDescent="0.3"/>
    <row r="1436" s="1" customFormat="1" x14ac:dyDescent="0.3"/>
    <row r="1437" s="1" customFormat="1" x14ac:dyDescent="0.3"/>
    <row r="1438" s="1" customFormat="1" x14ac:dyDescent="0.3"/>
    <row r="1439" s="1" customFormat="1" x14ac:dyDescent="0.3"/>
    <row r="1440" s="1" customFormat="1" x14ac:dyDescent="0.3"/>
    <row r="1441" s="1" customFormat="1" x14ac:dyDescent="0.3"/>
    <row r="1442" s="1" customFormat="1" x14ac:dyDescent="0.3"/>
    <row r="1443" s="1" customFormat="1" x14ac:dyDescent="0.3"/>
    <row r="1444" s="1" customFormat="1" x14ac:dyDescent="0.3"/>
    <row r="1445" s="1" customFormat="1" x14ac:dyDescent="0.3"/>
    <row r="1446" s="1" customFormat="1" x14ac:dyDescent="0.3"/>
    <row r="1447" s="1" customFormat="1" x14ac:dyDescent="0.3"/>
    <row r="1448" s="1" customFormat="1" x14ac:dyDescent="0.3"/>
    <row r="1449" s="1" customFormat="1" x14ac:dyDescent="0.3"/>
    <row r="1450" s="1" customFormat="1" x14ac:dyDescent="0.3"/>
    <row r="1451" s="1" customFormat="1" x14ac:dyDescent="0.3"/>
    <row r="1452" s="1" customFormat="1" x14ac:dyDescent="0.3"/>
    <row r="1453" s="1" customFormat="1" x14ac:dyDescent="0.3"/>
    <row r="1454" s="1" customFormat="1" x14ac:dyDescent="0.3"/>
    <row r="1455" s="1" customFormat="1" x14ac:dyDescent="0.3"/>
    <row r="1456" s="1" customFormat="1" x14ac:dyDescent="0.3"/>
    <row r="1457" s="1" customFormat="1" x14ac:dyDescent="0.3"/>
    <row r="1458" s="1" customFormat="1" x14ac:dyDescent="0.3"/>
    <row r="1459" s="1" customFormat="1" x14ac:dyDescent="0.3"/>
    <row r="1460" s="1" customFormat="1" x14ac:dyDescent="0.3"/>
    <row r="1461" s="1" customFormat="1" x14ac:dyDescent="0.3"/>
    <row r="1462" s="1" customFormat="1" x14ac:dyDescent="0.3"/>
    <row r="1463" s="1" customFormat="1" x14ac:dyDescent="0.3"/>
    <row r="1464" s="1" customFormat="1" x14ac:dyDescent="0.3"/>
    <row r="1465" s="1" customFormat="1" x14ac:dyDescent="0.3"/>
    <row r="1466" s="1" customFormat="1" x14ac:dyDescent="0.3"/>
    <row r="1467" s="1" customFormat="1" x14ac:dyDescent="0.3"/>
    <row r="1468" s="1" customFormat="1" x14ac:dyDescent="0.3"/>
    <row r="1469" s="1" customFormat="1" x14ac:dyDescent="0.3"/>
    <row r="1470" s="1" customFormat="1" x14ac:dyDescent="0.3"/>
    <row r="1471" s="1" customFormat="1" x14ac:dyDescent="0.3"/>
    <row r="1472" s="1" customFormat="1" x14ac:dyDescent="0.3"/>
    <row r="1473" s="1" customFormat="1" x14ac:dyDescent="0.3"/>
    <row r="1474" s="1" customFormat="1" x14ac:dyDescent="0.3"/>
    <row r="1475" s="1" customFormat="1" x14ac:dyDescent="0.3"/>
    <row r="1476" s="1" customFormat="1" x14ac:dyDescent="0.3"/>
    <row r="1477" s="1" customFormat="1" x14ac:dyDescent="0.3"/>
    <row r="1478" s="1" customFormat="1" x14ac:dyDescent="0.3"/>
    <row r="1479" s="1" customFormat="1" x14ac:dyDescent="0.3"/>
    <row r="1480" s="1" customFormat="1" x14ac:dyDescent="0.3"/>
    <row r="1481" s="1" customFormat="1" x14ac:dyDescent="0.3"/>
    <row r="1482" s="1" customFormat="1" x14ac:dyDescent="0.3"/>
    <row r="1483" s="1" customFormat="1" x14ac:dyDescent="0.3"/>
    <row r="1484" s="1" customFormat="1" x14ac:dyDescent="0.3"/>
    <row r="1485" s="1" customFormat="1" x14ac:dyDescent="0.3"/>
    <row r="1486" s="1" customFormat="1" x14ac:dyDescent="0.3"/>
    <row r="1487" s="1" customFormat="1" x14ac:dyDescent="0.3"/>
    <row r="1488" s="1" customFormat="1" x14ac:dyDescent="0.3"/>
    <row r="1489" s="1" customFormat="1" x14ac:dyDescent="0.3"/>
    <row r="1490" s="1" customFormat="1" x14ac:dyDescent="0.3"/>
    <row r="1491" s="1" customFormat="1" x14ac:dyDescent="0.3"/>
    <row r="1492" s="1" customFormat="1" x14ac:dyDescent="0.3"/>
    <row r="1493" s="1" customFormat="1" x14ac:dyDescent="0.3"/>
    <row r="1494" s="1" customFormat="1" x14ac:dyDescent="0.3"/>
    <row r="1495" s="1" customFormat="1" x14ac:dyDescent="0.3"/>
    <row r="1496" s="1" customFormat="1" x14ac:dyDescent="0.3"/>
    <row r="1497" s="1" customFormat="1" x14ac:dyDescent="0.3"/>
    <row r="1498" s="1" customFormat="1" x14ac:dyDescent="0.3"/>
    <row r="1499" s="1" customFormat="1" x14ac:dyDescent="0.3"/>
    <row r="1500" s="1" customFormat="1" x14ac:dyDescent="0.3"/>
    <row r="1501" s="1" customFormat="1" x14ac:dyDescent="0.3"/>
    <row r="1502" s="1" customFormat="1" x14ac:dyDescent="0.3"/>
    <row r="1503" s="1" customFormat="1" x14ac:dyDescent="0.3"/>
    <row r="1504" s="1" customFormat="1" x14ac:dyDescent="0.3"/>
    <row r="1505" s="1" customFormat="1" x14ac:dyDescent="0.3"/>
    <row r="1506" s="1" customFormat="1" x14ac:dyDescent="0.3"/>
    <row r="1507" s="1" customFormat="1" x14ac:dyDescent="0.3"/>
    <row r="1508" s="1" customFormat="1" x14ac:dyDescent="0.3"/>
    <row r="1509" s="1" customFormat="1" x14ac:dyDescent="0.3"/>
    <row r="1510" s="1" customFormat="1" x14ac:dyDescent="0.3"/>
    <row r="1511" s="1" customFormat="1" x14ac:dyDescent="0.3"/>
    <row r="1512" s="1" customFormat="1" x14ac:dyDescent="0.3"/>
    <row r="1513" s="1" customFormat="1" x14ac:dyDescent="0.3"/>
    <row r="1514" s="1" customFormat="1" x14ac:dyDescent="0.3"/>
    <row r="1515" s="1" customFormat="1" x14ac:dyDescent="0.3"/>
    <row r="1516" s="1" customFormat="1" x14ac:dyDescent="0.3"/>
    <row r="1517" s="1" customFormat="1" x14ac:dyDescent="0.3"/>
    <row r="1518" s="1" customFormat="1" x14ac:dyDescent="0.3"/>
    <row r="1519" s="1" customFormat="1" x14ac:dyDescent="0.3"/>
    <row r="1520" s="1" customFormat="1" x14ac:dyDescent="0.3"/>
    <row r="1521" s="1" customFormat="1" x14ac:dyDescent="0.3"/>
    <row r="1522" s="1" customFormat="1" x14ac:dyDescent="0.3"/>
    <row r="1523" s="1" customFormat="1" x14ac:dyDescent="0.3"/>
    <row r="1524" s="1" customFormat="1" x14ac:dyDescent="0.3"/>
    <row r="1525" s="1" customFormat="1" x14ac:dyDescent="0.3"/>
    <row r="1526" s="1" customFormat="1" x14ac:dyDescent="0.3"/>
    <row r="1527" s="1" customFormat="1" x14ac:dyDescent="0.3"/>
    <row r="1528" s="1" customFormat="1" x14ac:dyDescent="0.3"/>
    <row r="1529" s="1" customFormat="1" x14ac:dyDescent="0.3"/>
    <row r="1530" s="1" customFormat="1" x14ac:dyDescent="0.3"/>
    <row r="1531" s="1" customFormat="1" x14ac:dyDescent="0.3"/>
    <row r="1532" s="1" customFormat="1" x14ac:dyDescent="0.3"/>
    <row r="1533" s="1" customFormat="1" x14ac:dyDescent="0.3"/>
    <row r="1534" s="1" customFormat="1" x14ac:dyDescent="0.3"/>
    <row r="1535" s="1" customFormat="1" x14ac:dyDescent="0.3"/>
    <row r="1536" s="1" customFormat="1" x14ac:dyDescent="0.3"/>
    <row r="1537" s="1" customFormat="1" x14ac:dyDescent="0.3"/>
    <row r="1538" s="1" customFormat="1" x14ac:dyDescent="0.3"/>
    <row r="1539" s="1" customFormat="1" x14ac:dyDescent="0.3"/>
    <row r="1540" s="1" customFormat="1" x14ac:dyDescent="0.3"/>
    <row r="1541" s="1" customFormat="1" x14ac:dyDescent="0.3"/>
    <row r="1542" s="1" customFormat="1" x14ac:dyDescent="0.3"/>
    <row r="1543" s="1" customFormat="1" x14ac:dyDescent="0.3"/>
    <row r="1544" s="1" customFormat="1" x14ac:dyDescent="0.3"/>
    <row r="1545" s="1" customFormat="1" x14ac:dyDescent="0.3"/>
    <row r="1546" s="1" customFormat="1" x14ac:dyDescent="0.3"/>
    <row r="1547" s="1" customFormat="1" x14ac:dyDescent="0.3"/>
    <row r="1548" s="1" customFormat="1" x14ac:dyDescent="0.3"/>
    <row r="1549" s="1" customFormat="1" x14ac:dyDescent="0.3"/>
    <row r="1550" s="1" customFormat="1" x14ac:dyDescent="0.3"/>
    <row r="1551" s="1" customFormat="1" x14ac:dyDescent="0.3"/>
    <row r="1552" s="1" customFormat="1" x14ac:dyDescent="0.3"/>
    <row r="1553" s="1" customFormat="1" x14ac:dyDescent="0.3"/>
    <row r="1554" s="1" customFormat="1" x14ac:dyDescent="0.3"/>
    <row r="1555" s="1" customFormat="1" x14ac:dyDescent="0.3"/>
    <row r="1556" s="1" customFormat="1" x14ac:dyDescent="0.3"/>
    <row r="1557" s="1" customFormat="1" x14ac:dyDescent="0.3"/>
    <row r="1558" s="1" customFormat="1" x14ac:dyDescent="0.3"/>
    <row r="1559" s="1" customFormat="1" x14ac:dyDescent="0.3"/>
    <row r="1560" s="1" customFormat="1" x14ac:dyDescent="0.3"/>
    <row r="1561" s="1" customFormat="1" x14ac:dyDescent="0.3"/>
    <row r="1562" s="1" customFormat="1" x14ac:dyDescent="0.3"/>
    <row r="1563" s="1" customFormat="1" x14ac:dyDescent="0.3"/>
    <row r="1564" s="1" customFormat="1" x14ac:dyDescent="0.3"/>
    <row r="1565" s="1" customFormat="1" x14ac:dyDescent="0.3"/>
    <row r="1566" s="1" customFormat="1" x14ac:dyDescent="0.3"/>
    <row r="1567" s="1" customFormat="1" x14ac:dyDescent="0.3"/>
    <row r="1568" s="1" customFormat="1" x14ac:dyDescent="0.3"/>
    <row r="1569" s="1" customFormat="1" x14ac:dyDescent="0.3"/>
    <row r="1570" s="1" customFormat="1" x14ac:dyDescent="0.3"/>
    <row r="1571" s="1" customFormat="1" x14ac:dyDescent="0.3"/>
    <row r="1572" s="1" customFormat="1" x14ac:dyDescent="0.3"/>
    <row r="1573" s="1" customFormat="1" x14ac:dyDescent="0.3"/>
    <row r="1574" s="1" customFormat="1" x14ac:dyDescent="0.3"/>
    <row r="1575" s="1" customFormat="1" x14ac:dyDescent="0.3"/>
    <row r="1576" s="1" customFormat="1" x14ac:dyDescent="0.3"/>
    <row r="1577" s="1" customFormat="1" x14ac:dyDescent="0.3"/>
    <row r="1578" s="1" customFormat="1" x14ac:dyDescent="0.3"/>
    <row r="1579" s="1" customFormat="1" x14ac:dyDescent="0.3"/>
    <row r="1580" s="1" customFormat="1" x14ac:dyDescent="0.3"/>
    <row r="1581" s="1" customFormat="1" x14ac:dyDescent="0.3"/>
    <row r="1582" s="1" customFormat="1" x14ac:dyDescent="0.3"/>
    <row r="1583" s="1" customFormat="1" x14ac:dyDescent="0.3"/>
    <row r="1584" s="1" customFormat="1" x14ac:dyDescent="0.3"/>
    <row r="1585" s="1" customFormat="1" x14ac:dyDescent="0.3"/>
    <row r="1586" s="1" customFormat="1" x14ac:dyDescent="0.3"/>
    <row r="1587" s="1" customFormat="1" x14ac:dyDescent="0.3"/>
    <row r="1588" s="1" customFormat="1" x14ac:dyDescent="0.3"/>
    <row r="1589" s="1" customFormat="1" x14ac:dyDescent="0.3"/>
    <row r="1590" s="1" customFormat="1" x14ac:dyDescent="0.3"/>
    <row r="1591" s="1" customFormat="1" x14ac:dyDescent="0.3"/>
    <row r="1592" s="1" customFormat="1" x14ac:dyDescent="0.3"/>
    <row r="1593" s="1" customFormat="1" x14ac:dyDescent="0.3"/>
    <row r="1594" s="1" customFormat="1" x14ac:dyDescent="0.3"/>
    <row r="1595" s="1" customFormat="1" x14ac:dyDescent="0.3"/>
    <row r="1596" s="1" customFormat="1" x14ac:dyDescent="0.3"/>
    <row r="1597" s="1" customFormat="1" x14ac:dyDescent="0.3"/>
    <row r="1598" s="1" customFormat="1" x14ac:dyDescent="0.3"/>
    <row r="1599" s="1" customFormat="1" x14ac:dyDescent="0.3"/>
    <row r="1600" s="1" customFormat="1" x14ac:dyDescent="0.3"/>
    <row r="1601" s="1" customFormat="1" x14ac:dyDescent="0.3"/>
    <row r="1602" s="1" customFormat="1" x14ac:dyDescent="0.3"/>
    <row r="1603" s="1" customFormat="1" x14ac:dyDescent="0.3"/>
    <row r="1604" s="1" customFormat="1" x14ac:dyDescent="0.3"/>
    <row r="1605" s="1" customFormat="1" x14ac:dyDescent="0.3"/>
    <row r="1606" s="1" customFormat="1" x14ac:dyDescent="0.3"/>
    <row r="1607" s="1" customFormat="1" x14ac:dyDescent="0.3"/>
    <row r="1608" s="1" customFormat="1" x14ac:dyDescent="0.3"/>
    <row r="1609" s="1" customFormat="1" x14ac:dyDescent="0.3"/>
    <row r="1610" s="1" customFormat="1" x14ac:dyDescent="0.3"/>
    <row r="1611" s="1" customFormat="1" x14ac:dyDescent="0.3"/>
    <row r="1612" s="1" customFormat="1" x14ac:dyDescent="0.3"/>
    <row r="1613" s="1" customFormat="1" x14ac:dyDescent="0.3"/>
    <row r="1614" s="1" customFormat="1" x14ac:dyDescent="0.3"/>
    <row r="1615" s="1" customFormat="1" x14ac:dyDescent="0.3"/>
    <row r="1616" s="1" customFormat="1" x14ac:dyDescent="0.3"/>
    <row r="1617" s="1" customFormat="1" x14ac:dyDescent="0.3"/>
    <row r="1618" s="1" customFormat="1" x14ac:dyDescent="0.3"/>
    <row r="1619" s="1" customFormat="1" x14ac:dyDescent="0.3"/>
    <row r="1620" s="1" customFormat="1" x14ac:dyDescent="0.3"/>
    <row r="1621" s="1" customFormat="1" x14ac:dyDescent="0.3"/>
    <row r="1622" s="1" customFormat="1" x14ac:dyDescent="0.3"/>
    <row r="1623" s="1" customFormat="1" x14ac:dyDescent="0.3"/>
    <row r="1624" s="1" customFormat="1" x14ac:dyDescent="0.3"/>
    <row r="1625" s="1" customFormat="1" x14ac:dyDescent="0.3"/>
    <row r="1626" s="1" customFormat="1" x14ac:dyDescent="0.3"/>
    <row r="1627" s="1" customFormat="1" x14ac:dyDescent="0.3"/>
    <row r="1628" s="1" customFormat="1" x14ac:dyDescent="0.3"/>
    <row r="1629" s="1" customFormat="1" x14ac:dyDescent="0.3"/>
    <row r="1630" s="1" customFormat="1" x14ac:dyDescent="0.3"/>
    <row r="1631" s="1" customFormat="1" x14ac:dyDescent="0.3"/>
    <row r="1632" s="1" customFormat="1" x14ac:dyDescent="0.3"/>
    <row r="1633" s="1" customFormat="1" x14ac:dyDescent="0.3"/>
    <row r="1634" s="1" customFormat="1" x14ac:dyDescent="0.3"/>
    <row r="1635" s="1" customFormat="1" x14ac:dyDescent="0.3"/>
    <row r="1636" s="1" customFormat="1" x14ac:dyDescent="0.3"/>
    <row r="1637" s="1" customFormat="1" x14ac:dyDescent="0.3"/>
    <row r="1638" s="1" customFormat="1" x14ac:dyDescent="0.3"/>
    <row r="1639" s="1" customFormat="1" x14ac:dyDescent="0.3"/>
    <row r="1640" s="1" customFormat="1" x14ac:dyDescent="0.3"/>
    <row r="1641" s="1" customFormat="1" x14ac:dyDescent="0.3"/>
    <row r="1642" s="1" customFormat="1" x14ac:dyDescent="0.3"/>
    <row r="1643" s="1" customFormat="1" x14ac:dyDescent="0.3"/>
    <row r="1644" s="1" customFormat="1" x14ac:dyDescent="0.3"/>
    <row r="1645" s="1" customFormat="1" x14ac:dyDescent="0.3"/>
    <row r="1646" s="1" customFormat="1" x14ac:dyDescent="0.3"/>
    <row r="1647" s="1" customFormat="1" x14ac:dyDescent="0.3"/>
    <row r="1648" s="1" customFormat="1" x14ac:dyDescent="0.3"/>
    <row r="1649" s="1" customFormat="1" x14ac:dyDescent="0.3"/>
    <row r="1650" s="1" customFormat="1" x14ac:dyDescent="0.3"/>
    <row r="1651" s="1" customFormat="1" x14ac:dyDescent="0.3"/>
    <row r="1652" s="1" customFormat="1" x14ac:dyDescent="0.3"/>
    <row r="1653" s="1" customFormat="1" x14ac:dyDescent="0.3"/>
    <row r="1654" s="1" customFormat="1" x14ac:dyDescent="0.3"/>
    <row r="1655" s="1" customFormat="1" x14ac:dyDescent="0.3"/>
    <row r="1656" s="1" customFormat="1" x14ac:dyDescent="0.3"/>
    <row r="1657" s="1" customFormat="1" x14ac:dyDescent="0.3"/>
    <row r="1658" s="1" customFormat="1" x14ac:dyDescent="0.3"/>
    <row r="1659" s="1" customFormat="1" x14ac:dyDescent="0.3"/>
    <row r="1660" s="1" customFormat="1" x14ac:dyDescent="0.3"/>
    <row r="1661" s="1" customFormat="1" x14ac:dyDescent="0.3"/>
    <row r="1662" s="1" customFormat="1" x14ac:dyDescent="0.3"/>
    <row r="1663" s="1" customFormat="1" x14ac:dyDescent="0.3"/>
    <row r="1664" s="1" customFormat="1" x14ac:dyDescent="0.3"/>
    <row r="1665" s="1" customFormat="1" x14ac:dyDescent="0.3"/>
    <row r="1666" s="1" customFormat="1" x14ac:dyDescent="0.3"/>
    <row r="1667" s="1" customFormat="1" x14ac:dyDescent="0.3"/>
    <row r="1668" s="1" customFormat="1" x14ac:dyDescent="0.3"/>
    <row r="1669" s="1" customFormat="1" x14ac:dyDescent="0.3"/>
    <row r="1670" s="1" customFormat="1" x14ac:dyDescent="0.3"/>
    <row r="1671" s="1" customFormat="1" x14ac:dyDescent="0.3"/>
    <row r="1672" s="1" customFormat="1" x14ac:dyDescent="0.3"/>
    <row r="1673" s="1" customFormat="1" x14ac:dyDescent="0.3"/>
    <row r="1674" s="1" customFormat="1" x14ac:dyDescent="0.3"/>
    <row r="1675" s="1" customFormat="1" x14ac:dyDescent="0.3"/>
    <row r="1676" s="1" customFormat="1" x14ac:dyDescent="0.3"/>
    <row r="1677" s="1" customFormat="1" x14ac:dyDescent="0.3"/>
    <row r="1678" s="1" customFormat="1" x14ac:dyDescent="0.3"/>
    <row r="1679" s="1" customFormat="1" x14ac:dyDescent="0.3"/>
    <row r="1680" s="1" customFormat="1" x14ac:dyDescent="0.3"/>
    <row r="1681" s="1" customFormat="1" x14ac:dyDescent="0.3"/>
    <row r="1682" s="1" customFormat="1" x14ac:dyDescent="0.3"/>
    <row r="1683" s="1" customFormat="1" x14ac:dyDescent="0.3"/>
    <row r="1684" s="1" customFormat="1" x14ac:dyDescent="0.3"/>
    <row r="1685" s="1" customFormat="1" x14ac:dyDescent="0.3"/>
    <row r="1686" s="1" customFormat="1" x14ac:dyDescent="0.3"/>
    <row r="1687" s="1" customFormat="1" x14ac:dyDescent="0.3"/>
    <row r="1688" s="1" customFormat="1" x14ac:dyDescent="0.3"/>
    <row r="1689" s="1" customFormat="1" x14ac:dyDescent="0.3"/>
    <row r="1690" s="1" customFormat="1" x14ac:dyDescent="0.3"/>
    <row r="1691" s="1" customFormat="1" x14ac:dyDescent="0.3"/>
    <row r="1692" s="1" customFormat="1" x14ac:dyDescent="0.3"/>
    <row r="1693" s="1" customFormat="1" x14ac:dyDescent="0.3"/>
    <row r="1694" s="1" customFormat="1" x14ac:dyDescent="0.3"/>
    <row r="1695" s="1" customFormat="1" x14ac:dyDescent="0.3"/>
    <row r="1696" s="1" customFormat="1" x14ac:dyDescent="0.3"/>
    <row r="1697" s="1" customFormat="1" x14ac:dyDescent="0.3"/>
    <row r="1698" s="1" customFormat="1" x14ac:dyDescent="0.3"/>
    <row r="1699" s="1" customFormat="1" x14ac:dyDescent="0.3"/>
    <row r="1700" s="1" customFormat="1" x14ac:dyDescent="0.3"/>
    <row r="1701" s="1" customFormat="1" x14ac:dyDescent="0.3"/>
    <row r="1702" s="1" customFormat="1" x14ac:dyDescent="0.3"/>
    <row r="1703" s="1" customFormat="1" x14ac:dyDescent="0.3"/>
    <row r="1704" s="1" customFormat="1" x14ac:dyDescent="0.3"/>
    <row r="1705" s="1" customFormat="1" x14ac:dyDescent="0.3"/>
    <row r="1706" s="1" customFormat="1" x14ac:dyDescent="0.3"/>
    <row r="1707" s="1" customFormat="1" x14ac:dyDescent="0.3"/>
    <row r="1708" s="1" customFormat="1" x14ac:dyDescent="0.3"/>
    <row r="1709" s="1" customFormat="1" x14ac:dyDescent="0.3"/>
    <row r="1710" s="1" customFormat="1" x14ac:dyDescent="0.3"/>
    <row r="1711" s="1" customFormat="1" x14ac:dyDescent="0.3"/>
    <row r="1712" s="1" customFormat="1" x14ac:dyDescent="0.3"/>
    <row r="1713" s="1" customFormat="1" x14ac:dyDescent="0.3"/>
    <row r="1714" s="1" customFormat="1" x14ac:dyDescent="0.3"/>
    <row r="1715" s="1" customFormat="1" x14ac:dyDescent="0.3"/>
    <row r="1716" s="1" customFormat="1" x14ac:dyDescent="0.3"/>
    <row r="1717" s="1" customFormat="1" x14ac:dyDescent="0.3"/>
    <row r="1718" s="1" customFormat="1" x14ac:dyDescent="0.3"/>
    <row r="1719" s="1" customFormat="1" x14ac:dyDescent="0.3"/>
    <row r="1720" s="1" customFormat="1" x14ac:dyDescent="0.3"/>
    <row r="1721" s="1" customFormat="1" x14ac:dyDescent="0.3"/>
    <row r="1722" s="1" customFormat="1" x14ac:dyDescent="0.3"/>
    <row r="1723" s="1" customFormat="1" x14ac:dyDescent="0.3"/>
    <row r="1724" s="1" customFormat="1" x14ac:dyDescent="0.3"/>
    <row r="1725" s="1" customFormat="1" x14ac:dyDescent="0.3"/>
    <row r="1726" s="1" customFormat="1" x14ac:dyDescent="0.3"/>
    <row r="1727" s="1" customFormat="1" x14ac:dyDescent="0.3"/>
    <row r="1728" s="1" customFormat="1" x14ac:dyDescent="0.3"/>
    <row r="1729" s="1" customFormat="1" x14ac:dyDescent="0.3"/>
    <row r="1730" s="1" customFormat="1" x14ac:dyDescent="0.3"/>
    <row r="1731" s="1" customFormat="1" x14ac:dyDescent="0.3"/>
    <row r="1732" s="1" customFormat="1" x14ac:dyDescent="0.3"/>
    <row r="1733" s="1" customFormat="1" x14ac:dyDescent="0.3"/>
    <row r="1734" s="1" customFormat="1" x14ac:dyDescent="0.3"/>
    <row r="1735" s="1" customFormat="1" x14ac:dyDescent="0.3"/>
    <row r="1736" s="1" customFormat="1" x14ac:dyDescent="0.3"/>
    <row r="1737" s="1" customFormat="1" x14ac:dyDescent="0.3"/>
    <row r="1738" s="1" customFormat="1" x14ac:dyDescent="0.3"/>
    <row r="1739" s="1" customFormat="1" x14ac:dyDescent="0.3"/>
    <row r="1740" s="1" customFormat="1" x14ac:dyDescent="0.3"/>
    <row r="1741" s="1" customFormat="1" x14ac:dyDescent="0.3"/>
    <row r="1742" s="1" customFormat="1" x14ac:dyDescent="0.3"/>
    <row r="1743" s="1" customFormat="1" x14ac:dyDescent="0.3"/>
    <row r="1744" s="1" customFormat="1" x14ac:dyDescent="0.3"/>
    <row r="1745" s="1" customFormat="1" x14ac:dyDescent="0.3"/>
    <row r="1746" s="1" customFormat="1" x14ac:dyDescent="0.3"/>
    <row r="1747" s="1" customFormat="1" x14ac:dyDescent="0.3"/>
    <row r="1748" s="1" customFormat="1" x14ac:dyDescent="0.3"/>
    <row r="1749" s="1" customFormat="1" x14ac:dyDescent="0.3"/>
    <row r="1750" s="1" customFormat="1" x14ac:dyDescent="0.3"/>
    <row r="1751" s="1" customFormat="1" x14ac:dyDescent="0.3"/>
    <row r="1752" s="1" customFormat="1" x14ac:dyDescent="0.3"/>
    <row r="1753" s="1" customFormat="1" x14ac:dyDescent="0.3"/>
    <row r="1754" s="1" customFormat="1" x14ac:dyDescent="0.3"/>
    <row r="1755" s="1" customFormat="1" x14ac:dyDescent="0.3"/>
    <row r="1756" s="1" customFormat="1" x14ac:dyDescent="0.3"/>
    <row r="1757" s="1" customFormat="1" x14ac:dyDescent="0.3"/>
    <row r="1758" s="1" customFormat="1" x14ac:dyDescent="0.3"/>
    <row r="1759" s="1" customFormat="1" x14ac:dyDescent="0.3"/>
    <row r="1760" s="1" customFormat="1" x14ac:dyDescent="0.3"/>
    <row r="1761" s="1" customFormat="1" x14ac:dyDescent="0.3"/>
    <row r="1762" s="1" customFormat="1" x14ac:dyDescent="0.3"/>
    <row r="1763" s="1" customFormat="1" x14ac:dyDescent="0.3"/>
    <row r="1764" s="1" customFormat="1" x14ac:dyDescent="0.3"/>
    <row r="1765" s="1" customFormat="1" x14ac:dyDescent="0.3"/>
    <row r="1766" s="1" customFormat="1" x14ac:dyDescent="0.3"/>
    <row r="1767" s="1" customFormat="1" x14ac:dyDescent="0.3"/>
    <row r="1768" s="1" customFormat="1" x14ac:dyDescent="0.3"/>
    <row r="1769" s="1" customFormat="1" x14ac:dyDescent="0.3"/>
    <row r="1770" s="1" customFormat="1" x14ac:dyDescent="0.3"/>
    <row r="1771" s="1" customFormat="1" x14ac:dyDescent="0.3"/>
    <row r="1772" s="1" customFormat="1" x14ac:dyDescent="0.3"/>
    <row r="1773" s="1" customFormat="1" x14ac:dyDescent="0.3"/>
    <row r="1774" s="1" customFormat="1" x14ac:dyDescent="0.3"/>
    <row r="1775" s="1" customFormat="1" x14ac:dyDescent="0.3"/>
    <row r="1776" s="1" customFormat="1" x14ac:dyDescent="0.3"/>
    <row r="1777" s="1" customFormat="1" x14ac:dyDescent="0.3"/>
    <row r="1778" s="1" customFormat="1" x14ac:dyDescent="0.3"/>
    <row r="1779" s="1" customFormat="1" x14ac:dyDescent="0.3"/>
    <row r="1780" s="1" customFormat="1" x14ac:dyDescent="0.3"/>
    <row r="1781" s="1" customFormat="1" x14ac:dyDescent="0.3"/>
    <row r="1782" s="1" customFormat="1" x14ac:dyDescent="0.3"/>
    <row r="1783" s="1" customFormat="1" x14ac:dyDescent="0.3"/>
    <row r="1784" s="1" customFormat="1" x14ac:dyDescent="0.3"/>
    <row r="1785" s="1" customFormat="1" x14ac:dyDescent="0.3"/>
    <row r="1786" s="1" customFormat="1" x14ac:dyDescent="0.3"/>
    <row r="1787" s="1" customFormat="1" x14ac:dyDescent="0.3"/>
    <row r="1788" s="1" customFormat="1" x14ac:dyDescent="0.3"/>
    <row r="1789" s="1" customFormat="1" x14ac:dyDescent="0.3"/>
    <row r="1790" s="1" customFormat="1" x14ac:dyDescent="0.3"/>
    <row r="1791" s="1" customFormat="1" x14ac:dyDescent="0.3"/>
    <row r="1792" s="1" customFormat="1" x14ac:dyDescent="0.3"/>
    <row r="1793" s="1" customFormat="1" x14ac:dyDescent="0.3"/>
    <row r="1794" s="1" customFormat="1" x14ac:dyDescent="0.3"/>
    <row r="1795" s="1" customFormat="1" x14ac:dyDescent="0.3"/>
    <row r="1796" s="1" customFormat="1" x14ac:dyDescent="0.3"/>
    <row r="1797" s="1" customFormat="1" x14ac:dyDescent="0.3"/>
    <row r="1798" s="1" customFormat="1" x14ac:dyDescent="0.3"/>
    <row r="1799" s="1" customFormat="1" x14ac:dyDescent="0.3"/>
    <row r="1800" s="1" customFormat="1" x14ac:dyDescent="0.3"/>
    <row r="1801" s="1" customFormat="1" x14ac:dyDescent="0.3"/>
    <row r="1802" s="1" customFormat="1" x14ac:dyDescent="0.3"/>
    <row r="1803" s="1" customFormat="1" x14ac:dyDescent="0.3"/>
    <row r="1804" s="1" customFormat="1" x14ac:dyDescent="0.3"/>
    <row r="1805" s="1" customFormat="1" x14ac:dyDescent="0.3"/>
    <row r="1806" s="1" customFormat="1" x14ac:dyDescent="0.3"/>
    <row r="1807" s="1" customFormat="1" x14ac:dyDescent="0.3"/>
    <row r="1808" s="1" customFormat="1" x14ac:dyDescent="0.3"/>
    <row r="1809" s="1" customFormat="1" x14ac:dyDescent="0.3"/>
    <row r="1810" s="1" customFormat="1" x14ac:dyDescent="0.3"/>
    <row r="1811" s="1" customFormat="1" x14ac:dyDescent="0.3"/>
    <row r="1812" s="1" customFormat="1" x14ac:dyDescent="0.3"/>
    <row r="1813" s="1" customFormat="1" x14ac:dyDescent="0.3"/>
    <row r="1814" s="1" customFormat="1" x14ac:dyDescent="0.3"/>
    <row r="1815" s="1" customFormat="1" x14ac:dyDescent="0.3"/>
    <row r="1816" s="1" customFormat="1" x14ac:dyDescent="0.3"/>
    <row r="1817" s="1" customFormat="1" x14ac:dyDescent="0.3"/>
    <row r="1818" s="1" customFormat="1" x14ac:dyDescent="0.3"/>
    <row r="1819" s="1" customFormat="1" x14ac:dyDescent="0.3"/>
    <row r="1820" s="1" customFormat="1" x14ac:dyDescent="0.3"/>
    <row r="1821" s="1" customFormat="1" x14ac:dyDescent="0.3"/>
    <row r="1822" s="1" customFormat="1" x14ac:dyDescent="0.3"/>
    <row r="1823" s="1" customFormat="1" x14ac:dyDescent="0.3"/>
    <row r="1824" s="1" customFormat="1" x14ac:dyDescent="0.3"/>
    <row r="1825" s="1" customFormat="1" x14ac:dyDescent="0.3"/>
    <row r="1826" s="1" customFormat="1" x14ac:dyDescent="0.3"/>
    <row r="1827" s="1" customFormat="1" x14ac:dyDescent="0.3"/>
    <row r="1828" s="1" customFormat="1" x14ac:dyDescent="0.3"/>
    <row r="1829" s="1" customFormat="1" x14ac:dyDescent="0.3"/>
    <row r="1830" s="1" customFormat="1" x14ac:dyDescent="0.3"/>
    <row r="1831" s="1" customFormat="1" x14ac:dyDescent="0.3"/>
    <row r="1832" s="1" customFormat="1" x14ac:dyDescent="0.3"/>
    <row r="1833" s="1" customFormat="1" x14ac:dyDescent="0.3"/>
    <row r="1834" s="1" customFormat="1" x14ac:dyDescent="0.3"/>
    <row r="1835" s="1" customFormat="1" x14ac:dyDescent="0.3"/>
    <row r="1836" s="1" customFormat="1" x14ac:dyDescent="0.3"/>
    <row r="1837" s="1" customFormat="1" x14ac:dyDescent="0.3"/>
    <row r="1838" s="1" customFormat="1" x14ac:dyDescent="0.3"/>
    <row r="1839" s="1" customFormat="1" x14ac:dyDescent="0.3"/>
    <row r="1840" s="1" customFormat="1" x14ac:dyDescent="0.3"/>
    <row r="1841" s="1" customFormat="1" x14ac:dyDescent="0.3"/>
    <row r="1842" s="1" customFormat="1" x14ac:dyDescent="0.3"/>
    <row r="1843" s="1" customFormat="1" x14ac:dyDescent="0.3"/>
    <row r="1844" s="1" customFormat="1" x14ac:dyDescent="0.3"/>
    <row r="1845" s="1" customFormat="1" x14ac:dyDescent="0.3"/>
    <row r="1846" s="1" customFormat="1" x14ac:dyDescent="0.3"/>
    <row r="1847" s="1" customFormat="1" x14ac:dyDescent="0.3"/>
    <row r="1848" s="1" customFormat="1" x14ac:dyDescent="0.3"/>
    <row r="1849" s="1" customFormat="1" x14ac:dyDescent="0.3"/>
    <row r="1850" s="1" customFormat="1" x14ac:dyDescent="0.3"/>
    <row r="1851" s="1" customFormat="1" x14ac:dyDescent="0.3"/>
    <row r="1852" s="1" customFormat="1" x14ac:dyDescent="0.3"/>
    <row r="1853" s="1" customFormat="1" x14ac:dyDescent="0.3"/>
    <row r="1854" s="1" customFormat="1" x14ac:dyDescent="0.3"/>
    <row r="1855" s="1" customFormat="1" x14ac:dyDescent="0.3"/>
    <row r="1856" s="1" customFormat="1" x14ac:dyDescent="0.3"/>
    <row r="1857" s="1" customFormat="1" x14ac:dyDescent="0.3"/>
    <row r="1858" s="1" customFormat="1" x14ac:dyDescent="0.3"/>
    <row r="1859" s="1" customFormat="1" x14ac:dyDescent="0.3"/>
    <row r="1860" s="1" customFormat="1" x14ac:dyDescent="0.3"/>
    <row r="1861" s="1" customFormat="1" x14ac:dyDescent="0.3"/>
    <row r="1862" s="1" customFormat="1" x14ac:dyDescent="0.3"/>
    <row r="1863" s="1" customFormat="1" x14ac:dyDescent="0.3"/>
    <row r="1864" s="1" customFormat="1" x14ac:dyDescent="0.3"/>
    <row r="1865" s="1" customFormat="1" x14ac:dyDescent="0.3"/>
    <row r="1866" s="1" customFormat="1" x14ac:dyDescent="0.3"/>
    <row r="1867" s="1" customFormat="1" x14ac:dyDescent="0.3"/>
    <row r="1868" s="1" customFormat="1" x14ac:dyDescent="0.3"/>
    <row r="1869" s="1" customFormat="1" x14ac:dyDescent="0.3"/>
    <row r="1870" s="1" customFormat="1" x14ac:dyDescent="0.3"/>
    <row r="1871" s="1" customFormat="1" x14ac:dyDescent="0.3"/>
    <row r="1872" s="1" customFormat="1" x14ac:dyDescent="0.3"/>
    <row r="1873" s="1" customFormat="1" x14ac:dyDescent="0.3"/>
    <row r="1874" s="1" customFormat="1" x14ac:dyDescent="0.3"/>
    <row r="1875" s="1" customFormat="1" x14ac:dyDescent="0.3"/>
    <row r="1876" s="1" customFormat="1" x14ac:dyDescent="0.3"/>
    <row r="1877" s="1" customFormat="1" x14ac:dyDescent="0.3"/>
    <row r="1878" s="1" customFormat="1" x14ac:dyDescent="0.3"/>
    <row r="1879" s="1" customFormat="1" x14ac:dyDescent="0.3"/>
    <row r="1880" s="1" customFormat="1" x14ac:dyDescent="0.3"/>
    <row r="1881" s="1" customFormat="1" x14ac:dyDescent="0.3"/>
    <row r="1882" s="1" customFormat="1" x14ac:dyDescent="0.3"/>
    <row r="1883" s="1" customFormat="1" x14ac:dyDescent="0.3"/>
    <row r="1884" s="1" customFormat="1" x14ac:dyDescent="0.3"/>
    <row r="1885" s="1" customFormat="1" x14ac:dyDescent="0.3"/>
    <row r="1886" s="1" customFormat="1" x14ac:dyDescent="0.3"/>
    <row r="1887" s="1" customFormat="1" x14ac:dyDescent="0.3"/>
    <row r="1888" s="1" customFormat="1" x14ac:dyDescent="0.3"/>
    <row r="1889" s="1" customFormat="1" x14ac:dyDescent="0.3"/>
    <row r="1890" s="1" customFormat="1" x14ac:dyDescent="0.3"/>
    <row r="1891" s="1" customFormat="1" x14ac:dyDescent="0.3"/>
    <row r="1892" s="1" customFormat="1" x14ac:dyDescent="0.3"/>
    <row r="1893" s="1" customFormat="1" x14ac:dyDescent="0.3"/>
    <row r="1894" s="1" customFormat="1" x14ac:dyDescent="0.3"/>
    <row r="1895" s="1" customFormat="1" x14ac:dyDescent="0.3"/>
    <row r="1896" s="1" customFormat="1" x14ac:dyDescent="0.3"/>
    <row r="1897" s="1" customFormat="1" x14ac:dyDescent="0.3"/>
    <row r="1898" s="1" customFormat="1" x14ac:dyDescent="0.3"/>
    <row r="1899" s="1" customFormat="1" x14ac:dyDescent="0.3"/>
    <row r="1900" s="1" customFormat="1" x14ac:dyDescent="0.3"/>
    <row r="1901" s="1" customFormat="1" x14ac:dyDescent="0.3"/>
    <row r="1902" s="1" customFormat="1" x14ac:dyDescent="0.3"/>
    <row r="1903" s="1" customFormat="1" x14ac:dyDescent="0.3"/>
    <row r="1904" s="1" customFormat="1" x14ac:dyDescent="0.3"/>
    <row r="1905" s="1" customFormat="1" x14ac:dyDescent="0.3"/>
    <row r="1906" s="1" customFormat="1" x14ac:dyDescent="0.3"/>
    <row r="1907" s="1" customFormat="1" x14ac:dyDescent="0.3"/>
    <row r="1908" s="1" customFormat="1" x14ac:dyDescent="0.3"/>
    <row r="1909" s="1" customFormat="1" x14ac:dyDescent="0.3"/>
    <row r="1910" s="1" customFormat="1" x14ac:dyDescent="0.3"/>
    <row r="1911" s="1" customFormat="1" x14ac:dyDescent="0.3"/>
    <row r="1912" s="1" customFormat="1" x14ac:dyDescent="0.3"/>
    <row r="1913" s="1" customFormat="1" x14ac:dyDescent="0.3"/>
    <row r="1914" s="1" customFormat="1" x14ac:dyDescent="0.3"/>
    <row r="1915" s="1" customFormat="1" x14ac:dyDescent="0.3"/>
    <row r="1916" s="1" customFormat="1" x14ac:dyDescent="0.3"/>
    <row r="1917" s="1" customFormat="1" x14ac:dyDescent="0.3"/>
    <row r="1918" s="1" customFormat="1" x14ac:dyDescent="0.3"/>
    <row r="1919" s="1" customFormat="1" x14ac:dyDescent="0.3"/>
    <row r="1920" s="1" customFormat="1" x14ac:dyDescent="0.3"/>
    <row r="1921" s="1" customFormat="1" x14ac:dyDescent="0.3"/>
    <row r="1922" s="1" customFormat="1" x14ac:dyDescent="0.3"/>
    <row r="1923" s="1" customFormat="1" x14ac:dyDescent="0.3"/>
    <row r="1924" s="1" customFormat="1" x14ac:dyDescent="0.3"/>
    <row r="1925" s="1" customFormat="1" x14ac:dyDescent="0.3"/>
    <row r="1926" s="1" customFormat="1" x14ac:dyDescent="0.3"/>
    <row r="1927" s="1" customFormat="1" x14ac:dyDescent="0.3"/>
    <row r="1928" s="1" customFormat="1" x14ac:dyDescent="0.3"/>
    <row r="1929" s="1" customFormat="1" x14ac:dyDescent="0.3"/>
    <row r="1930" s="1" customFormat="1" x14ac:dyDescent="0.3"/>
    <row r="1931" s="1" customFormat="1" x14ac:dyDescent="0.3"/>
    <row r="1932" s="1" customFormat="1" x14ac:dyDescent="0.3"/>
    <row r="1933" s="1" customFormat="1" x14ac:dyDescent="0.3"/>
    <row r="1934" s="1" customFormat="1" x14ac:dyDescent="0.3"/>
    <row r="1935" s="1" customFormat="1" x14ac:dyDescent="0.3"/>
    <row r="1936" s="1" customFormat="1" x14ac:dyDescent="0.3"/>
    <row r="1937" s="1" customFormat="1" x14ac:dyDescent="0.3"/>
    <row r="1938" s="1" customFormat="1" x14ac:dyDescent="0.3"/>
    <row r="1939" s="1" customFormat="1" x14ac:dyDescent="0.3"/>
    <row r="1940" s="1" customFormat="1" x14ac:dyDescent="0.3"/>
    <row r="1941" s="1" customFormat="1" x14ac:dyDescent="0.3"/>
    <row r="1942" s="1" customFormat="1" x14ac:dyDescent="0.3"/>
    <row r="1943" s="1" customFormat="1" x14ac:dyDescent="0.3"/>
    <row r="1944" s="1" customFormat="1" x14ac:dyDescent="0.3"/>
    <row r="1945" s="1" customFormat="1" x14ac:dyDescent="0.3"/>
    <row r="1946" s="1" customFormat="1" x14ac:dyDescent="0.3"/>
    <row r="1947" s="1" customFormat="1" x14ac:dyDescent="0.3"/>
    <row r="1948" s="1" customFormat="1" x14ac:dyDescent="0.3"/>
    <row r="1949" s="1" customFormat="1" x14ac:dyDescent="0.3"/>
    <row r="1950" s="1" customFormat="1" x14ac:dyDescent="0.3"/>
    <row r="1951" s="1" customFormat="1" x14ac:dyDescent="0.3"/>
    <row r="1952" s="1" customFormat="1" x14ac:dyDescent="0.3"/>
    <row r="1953" s="1" customFormat="1" x14ac:dyDescent="0.3"/>
    <row r="1954" s="1" customFormat="1" x14ac:dyDescent="0.3"/>
    <row r="1955" s="1" customFormat="1" x14ac:dyDescent="0.3"/>
    <row r="1956" s="1" customFormat="1" x14ac:dyDescent="0.3"/>
    <row r="1957" s="1" customFormat="1" x14ac:dyDescent="0.3"/>
    <row r="1958" s="1" customFormat="1" x14ac:dyDescent="0.3"/>
    <row r="1959" s="1" customFormat="1" x14ac:dyDescent="0.3"/>
    <row r="1960" s="1" customFormat="1" x14ac:dyDescent="0.3"/>
    <row r="1961" s="1" customFormat="1" x14ac:dyDescent="0.3"/>
    <row r="1962" s="1" customFormat="1" x14ac:dyDescent="0.3"/>
    <row r="1963" s="1" customFormat="1" x14ac:dyDescent="0.3"/>
    <row r="1964" s="1" customFormat="1" x14ac:dyDescent="0.3"/>
    <row r="1965" s="1" customFormat="1" x14ac:dyDescent="0.3"/>
    <row r="1966" s="1" customFormat="1" x14ac:dyDescent="0.3"/>
    <row r="1967" s="1" customFormat="1" x14ac:dyDescent="0.3"/>
    <row r="1968" s="1" customFormat="1" x14ac:dyDescent="0.3"/>
    <row r="1969" s="1" customFormat="1" x14ac:dyDescent="0.3"/>
    <row r="1970" s="1" customFormat="1" x14ac:dyDescent="0.3"/>
    <row r="1971" s="1" customFormat="1" x14ac:dyDescent="0.3"/>
    <row r="1972" s="1" customFormat="1" x14ac:dyDescent="0.3"/>
    <row r="1973" s="1" customFormat="1" x14ac:dyDescent="0.3"/>
    <row r="1974" s="1" customFormat="1" x14ac:dyDescent="0.3"/>
    <row r="1975" s="1" customFormat="1" x14ac:dyDescent="0.3"/>
    <row r="1976" s="1" customFormat="1" x14ac:dyDescent="0.3"/>
    <row r="1977" s="1" customFormat="1" x14ac:dyDescent="0.3"/>
    <row r="1978" s="1" customFormat="1" x14ac:dyDescent="0.3"/>
    <row r="1979" s="1" customFormat="1" x14ac:dyDescent="0.3"/>
    <row r="1980" s="1" customFormat="1" x14ac:dyDescent="0.3"/>
    <row r="1981" s="1" customFormat="1" x14ac:dyDescent="0.3"/>
    <row r="1982" s="1" customFormat="1" x14ac:dyDescent="0.3"/>
    <row r="1983" s="1" customFormat="1" x14ac:dyDescent="0.3"/>
    <row r="1984" s="1" customFormat="1" x14ac:dyDescent="0.3"/>
    <row r="1985" s="1" customFormat="1" x14ac:dyDescent="0.3"/>
    <row r="1986" s="1" customFormat="1" x14ac:dyDescent="0.3"/>
    <row r="1987" s="1" customFormat="1" x14ac:dyDescent="0.3"/>
    <row r="1988" s="1" customFormat="1" x14ac:dyDescent="0.3"/>
    <row r="1989" s="1" customFormat="1" x14ac:dyDescent="0.3"/>
    <row r="1990" s="1" customFormat="1" x14ac:dyDescent="0.3"/>
    <row r="1991" s="1" customFormat="1" x14ac:dyDescent="0.3"/>
    <row r="1992" s="1" customFormat="1" x14ac:dyDescent="0.3"/>
    <row r="1993" s="1" customFormat="1" x14ac:dyDescent="0.3"/>
    <row r="1994" s="1" customFormat="1" x14ac:dyDescent="0.3"/>
    <row r="1995" s="1" customFormat="1" x14ac:dyDescent="0.3"/>
    <row r="1996" s="1" customFormat="1" x14ac:dyDescent="0.3"/>
    <row r="1997" s="1" customFormat="1" x14ac:dyDescent="0.3"/>
    <row r="1998" s="1" customFormat="1" x14ac:dyDescent="0.3"/>
    <row r="1999" s="1" customFormat="1" x14ac:dyDescent="0.3"/>
    <row r="2000" s="1" customFormat="1" x14ac:dyDescent="0.3"/>
    <row r="2001" s="1" customFormat="1" x14ac:dyDescent="0.3"/>
    <row r="2002" s="1" customFormat="1" x14ac:dyDescent="0.3"/>
    <row r="2003" s="1" customFormat="1" x14ac:dyDescent="0.3"/>
    <row r="2004" s="1" customFormat="1" x14ac:dyDescent="0.3"/>
    <row r="2005" s="1" customFormat="1" x14ac:dyDescent="0.3"/>
    <row r="2006" s="1" customFormat="1" x14ac:dyDescent="0.3"/>
    <row r="2007" s="1" customFormat="1" x14ac:dyDescent="0.3"/>
    <row r="2008" s="1" customFormat="1" x14ac:dyDescent="0.3"/>
    <row r="2009" s="1" customFormat="1" x14ac:dyDescent="0.3"/>
    <row r="2010" s="1" customFormat="1" x14ac:dyDescent="0.3"/>
    <row r="2011" s="1" customFormat="1" x14ac:dyDescent="0.3"/>
    <row r="2012" s="1" customFormat="1" x14ac:dyDescent="0.3"/>
    <row r="2013" s="1" customFormat="1" x14ac:dyDescent="0.3"/>
    <row r="2014" s="1" customFormat="1" x14ac:dyDescent="0.3"/>
    <row r="2015" s="1" customFormat="1" x14ac:dyDescent="0.3"/>
    <row r="2016" s="1" customFormat="1" x14ac:dyDescent="0.3"/>
    <row r="2017" s="1" customFormat="1" x14ac:dyDescent="0.3"/>
    <row r="2018" s="1" customFormat="1" x14ac:dyDescent="0.3"/>
    <row r="2019" s="1" customFormat="1" x14ac:dyDescent="0.3"/>
    <row r="2020" s="1" customFormat="1" x14ac:dyDescent="0.3"/>
    <row r="2021" s="1" customFormat="1" x14ac:dyDescent="0.3"/>
    <row r="2022" s="1" customFormat="1" x14ac:dyDescent="0.3"/>
    <row r="2023" s="1" customFormat="1" x14ac:dyDescent="0.3"/>
    <row r="2024" s="1" customFormat="1" x14ac:dyDescent="0.3"/>
    <row r="2025" s="1" customFormat="1" x14ac:dyDescent="0.3"/>
    <row r="2026" s="1" customFormat="1" x14ac:dyDescent="0.3"/>
    <row r="2027" s="1" customFormat="1" x14ac:dyDescent="0.3"/>
    <row r="2028" s="1" customFormat="1" x14ac:dyDescent="0.3"/>
    <row r="2029" s="1" customFormat="1" x14ac:dyDescent="0.3"/>
    <row r="2030" s="1" customFormat="1" x14ac:dyDescent="0.3"/>
    <row r="2031" s="1" customFormat="1" x14ac:dyDescent="0.3"/>
    <row r="2032" s="1" customFormat="1" x14ac:dyDescent="0.3"/>
    <row r="2033" s="1" customFormat="1" x14ac:dyDescent="0.3"/>
    <row r="2034" s="1" customFormat="1" x14ac:dyDescent="0.3"/>
    <row r="2035" s="1" customFormat="1" x14ac:dyDescent="0.3"/>
    <row r="2036" s="1" customFormat="1" x14ac:dyDescent="0.3"/>
    <row r="2037" s="1" customFormat="1" x14ac:dyDescent="0.3"/>
    <row r="2038" s="1" customFormat="1" x14ac:dyDescent="0.3"/>
    <row r="2039" s="1" customFormat="1" x14ac:dyDescent="0.3"/>
    <row r="2040" s="1" customFormat="1" x14ac:dyDescent="0.3"/>
    <row r="2041" s="1" customFormat="1" x14ac:dyDescent="0.3"/>
    <row r="2042" s="1" customFormat="1" x14ac:dyDescent="0.3"/>
    <row r="2043" s="1" customFormat="1" x14ac:dyDescent="0.3"/>
    <row r="2044" s="1" customFormat="1" x14ac:dyDescent="0.3"/>
    <row r="2045" s="1" customFormat="1" x14ac:dyDescent="0.3"/>
    <row r="2046" s="1" customFormat="1" x14ac:dyDescent="0.3"/>
    <row r="2047" s="1" customFormat="1" x14ac:dyDescent="0.3"/>
    <row r="2048" s="1" customFormat="1" x14ac:dyDescent="0.3"/>
    <row r="2049" s="1" customFormat="1" x14ac:dyDescent="0.3"/>
    <row r="2050" s="1" customFormat="1" x14ac:dyDescent="0.3"/>
    <row r="2051" s="1" customFormat="1" x14ac:dyDescent="0.3"/>
    <row r="2052" s="1" customFormat="1" x14ac:dyDescent="0.3"/>
    <row r="2053" s="1" customFormat="1" x14ac:dyDescent="0.3"/>
    <row r="2054" s="1" customFormat="1" x14ac:dyDescent="0.3"/>
    <row r="2055" s="1" customFormat="1" x14ac:dyDescent="0.3"/>
    <row r="2056" s="1" customFormat="1" x14ac:dyDescent="0.3"/>
    <row r="2057" s="1" customFormat="1" x14ac:dyDescent="0.3"/>
    <row r="2058" s="1" customFormat="1" x14ac:dyDescent="0.3"/>
    <row r="2059" s="1" customFormat="1" x14ac:dyDescent="0.3"/>
    <row r="2060" s="1" customFormat="1" x14ac:dyDescent="0.3"/>
    <row r="2061" s="1" customFormat="1" x14ac:dyDescent="0.3"/>
    <row r="2062" s="1" customFormat="1" x14ac:dyDescent="0.3"/>
    <row r="2063" s="1" customFormat="1" x14ac:dyDescent="0.3"/>
    <row r="2064" s="1" customFormat="1" x14ac:dyDescent="0.3"/>
    <row r="2065" s="1" customFormat="1" x14ac:dyDescent="0.3"/>
    <row r="2066" s="1" customFormat="1" x14ac:dyDescent="0.3"/>
    <row r="2067" s="1" customFormat="1" x14ac:dyDescent="0.3"/>
    <row r="2068" s="1" customFormat="1" x14ac:dyDescent="0.3"/>
    <row r="2069" s="1" customFormat="1" x14ac:dyDescent="0.3"/>
    <row r="2070" s="1" customFormat="1" x14ac:dyDescent="0.3"/>
    <row r="2071" s="1" customFormat="1" x14ac:dyDescent="0.3"/>
    <row r="2072" s="1" customFormat="1" x14ac:dyDescent="0.3"/>
    <row r="2073" s="1" customFormat="1" x14ac:dyDescent="0.3"/>
    <row r="2074" s="1" customFormat="1" x14ac:dyDescent="0.3"/>
    <row r="2075" s="1" customFormat="1" x14ac:dyDescent="0.3"/>
    <row r="2076" s="1" customFormat="1" x14ac:dyDescent="0.3"/>
    <row r="2077" s="1" customFormat="1" x14ac:dyDescent="0.3"/>
    <row r="2078" s="1" customFormat="1" x14ac:dyDescent="0.3"/>
    <row r="2079" s="1" customFormat="1" x14ac:dyDescent="0.3"/>
    <row r="2080" s="1" customFormat="1" x14ac:dyDescent="0.3"/>
    <row r="2081" s="1" customFormat="1" x14ac:dyDescent="0.3"/>
    <row r="2082" s="1" customFormat="1" x14ac:dyDescent="0.3"/>
    <row r="2083" s="1" customFormat="1" x14ac:dyDescent="0.3"/>
    <row r="2084" s="1" customFormat="1" x14ac:dyDescent="0.3"/>
    <row r="2085" s="1" customFormat="1" x14ac:dyDescent="0.3"/>
    <row r="2086" s="1" customFormat="1" x14ac:dyDescent="0.3"/>
    <row r="2087" s="1" customFormat="1" x14ac:dyDescent="0.3"/>
    <row r="2088" s="1" customFormat="1" x14ac:dyDescent="0.3"/>
    <row r="2089" s="1" customFormat="1" x14ac:dyDescent="0.3"/>
    <row r="2090" s="1" customFormat="1" x14ac:dyDescent="0.3"/>
    <row r="2091" s="1" customFormat="1" x14ac:dyDescent="0.3"/>
    <row r="2092" s="1" customFormat="1" x14ac:dyDescent="0.3"/>
    <row r="2093" s="1" customFormat="1" x14ac:dyDescent="0.3"/>
    <row r="2094" s="1" customFormat="1" x14ac:dyDescent="0.3"/>
    <row r="2095" s="1" customFormat="1" x14ac:dyDescent="0.3"/>
    <row r="2096" s="1" customFormat="1" x14ac:dyDescent="0.3"/>
    <row r="2097" s="1" customFormat="1" x14ac:dyDescent="0.3"/>
    <row r="2098" s="1" customFormat="1" x14ac:dyDescent="0.3"/>
    <row r="2099" s="1" customFormat="1" x14ac:dyDescent="0.3"/>
    <row r="2100" s="1" customFormat="1" x14ac:dyDescent="0.3"/>
    <row r="2101" s="1" customFormat="1" x14ac:dyDescent="0.3"/>
    <row r="2102" s="1" customFormat="1" x14ac:dyDescent="0.3"/>
    <row r="2103" s="1" customFormat="1" x14ac:dyDescent="0.3"/>
    <row r="2104" s="1" customFormat="1" x14ac:dyDescent="0.3"/>
    <row r="2105" s="1" customFormat="1" x14ac:dyDescent="0.3"/>
    <row r="2106" s="1" customFormat="1" x14ac:dyDescent="0.3"/>
    <row r="2107" s="1" customFormat="1" x14ac:dyDescent="0.3"/>
    <row r="2108" s="1" customFormat="1" x14ac:dyDescent="0.3"/>
    <row r="2109" s="1" customFormat="1" x14ac:dyDescent="0.3"/>
    <row r="2110" s="1" customFormat="1" x14ac:dyDescent="0.3"/>
    <row r="2111" s="1" customFormat="1" x14ac:dyDescent="0.3"/>
    <row r="2112" s="1" customFormat="1" x14ac:dyDescent="0.3"/>
    <row r="2113" s="1" customFormat="1" x14ac:dyDescent="0.3"/>
    <row r="2114" s="1" customFormat="1" x14ac:dyDescent="0.3"/>
    <row r="2115" s="1" customFormat="1" x14ac:dyDescent="0.3"/>
    <row r="2116" s="1" customFormat="1" x14ac:dyDescent="0.3"/>
    <row r="2117" s="1" customFormat="1" x14ac:dyDescent="0.3"/>
    <row r="2118" s="1" customFormat="1" x14ac:dyDescent="0.3"/>
    <row r="2119" s="1" customFormat="1" x14ac:dyDescent="0.3"/>
    <row r="2120" s="1" customFormat="1" x14ac:dyDescent="0.3"/>
    <row r="2121" s="1" customFormat="1" x14ac:dyDescent="0.3"/>
    <row r="2122" s="1" customFormat="1" x14ac:dyDescent="0.3"/>
    <row r="2123" s="1" customFormat="1" x14ac:dyDescent="0.3"/>
    <row r="2124" s="1" customFormat="1" x14ac:dyDescent="0.3"/>
    <row r="2125" s="1" customFormat="1" x14ac:dyDescent="0.3"/>
    <row r="2126" s="1" customFormat="1" x14ac:dyDescent="0.3"/>
    <row r="2127" s="1" customFormat="1" x14ac:dyDescent="0.3"/>
    <row r="2128" s="1" customFormat="1" x14ac:dyDescent="0.3"/>
    <row r="2129" s="1" customFormat="1" x14ac:dyDescent="0.3"/>
    <row r="2130" s="1" customFormat="1" x14ac:dyDescent="0.3"/>
    <row r="2131" s="1" customFormat="1" x14ac:dyDescent="0.3"/>
    <row r="2132" s="1" customFormat="1" x14ac:dyDescent="0.3"/>
    <row r="2133" s="1" customFormat="1" x14ac:dyDescent="0.3"/>
    <row r="2134" s="1" customFormat="1" x14ac:dyDescent="0.3"/>
    <row r="2135" s="1" customFormat="1" x14ac:dyDescent="0.3"/>
    <row r="2136" s="1" customFormat="1" x14ac:dyDescent="0.3"/>
    <row r="2137" s="1" customFormat="1" x14ac:dyDescent="0.3"/>
    <row r="2138" s="1" customFormat="1" x14ac:dyDescent="0.3"/>
    <row r="2139" s="1" customFormat="1" x14ac:dyDescent="0.3"/>
    <row r="2140" s="1" customFormat="1" x14ac:dyDescent="0.3"/>
    <row r="2141" s="1" customFormat="1" x14ac:dyDescent="0.3"/>
    <row r="2142" s="1" customFormat="1" x14ac:dyDescent="0.3"/>
    <row r="2143" s="1" customFormat="1" x14ac:dyDescent="0.3"/>
    <row r="2144" s="1" customFormat="1" x14ac:dyDescent="0.3"/>
    <row r="2145" s="1" customFormat="1" x14ac:dyDescent="0.3"/>
    <row r="2146" s="1" customFormat="1" x14ac:dyDescent="0.3"/>
    <row r="2147" s="1" customFormat="1" x14ac:dyDescent="0.3"/>
    <row r="2148" s="1" customFormat="1" x14ac:dyDescent="0.3"/>
    <row r="2149" s="1" customFormat="1" x14ac:dyDescent="0.3"/>
    <row r="2150" s="1" customFormat="1" x14ac:dyDescent="0.3"/>
    <row r="2151" s="1" customFormat="1" x14ac:dyDescent="0.3"/>
    <row r="2152" s="1" customFormat="1" x14ac:dyDescent="0.3"/>
    <row r="2153" s="1" customFormat="1" x14ac:dyDescent="0.3"/>
    <row r="2154" s="1" customFormat="1" x14ac:dyDescent="0.3"/>
    <row r="2155" s="1" customFormat="1" x14ac:dyDescent="0.3"/>
    <row r="2156" s="1" customFormat="1" x14ac:dyDescent="0.3"/>
    <row r="2157" s="1" customFormat="1" x14ac:dyDescent="0.3"/>
    <row r="2158" s="1" customFormat="1" x14ac:dyDescent="0.3"/>
    <row r="2159" s="1" customFormat="1" x14ac:dyDescent="0.3"/>
    <row r="2160" s="1" customFormat="1" x14ac:dyDescent="0.3"/>
    <row r="2161" s="1" customFormat="1" x14ac:dyDescent="0.3"/>
    <row r="2162" s="1" customFormat="1" x14ac:dyDescent="0.3"/>
    <row r="2163" s="1" customFormat="1" x14ac:dyDescent="0.3"/>
    <row r="2164" s="1" customFormat="1" x14ac:dyDescent="0.3"/>
    <row r="2165" s="1" customFormat="1" x14ac:dyDescent="0.3"/>
    <row r="2166" s="1" customFormat="1" x14ac:dyDescent="0.3"/>
    <row r="2167" s="1" customFormat="1" x14ac:dyDescent="0.3"/>
    <row r="2168" s="1" customFormat="1" x14ac:dyDescent="0.3"/>
    <row r="2169" s="1" customFormat="1" x14ac:dyDescent="0.3"/>
    <row r="2170" s="1" customFormat="1" x14ac:dyDescent="0.3"/>
    <row r="2171" s="1" customFormat="1" x14ac:dyDescent="0.3"/>
    <row r="2172" s="1" customFormat="1" x14ac:dyDescent="0.3"/>
    <row r="2173" s="1" customFormat="1" x14ac:dyDescent="0.3"/>
    <row r="2174" s="1" customFormat="1" x14ac:dyDescent="0.3"/>
    <row r="2175" s="1" customFormat="1" x14ac:dyDescent="0.3"/>
    <row r="2176" s="1" customFormat="1" x14ac:dyDescent="0.3"/>
    <row r="2177" s="1" customFormat="1" x14ac:dyDescent="0.3"/>
    <row r="2178" s="1" customFormat="1" x14ac:dyDescent="0.3"/>
    <row r="2179" s="1" customFormat="1" x14ac:dyDescent="0.3"/>
    <row r="2180" s="1" customFormat="1" x14ac:dyDescent="0.3"/>
    <row r="2181" s="1" customFormat="1" x14ac:dyDescent="0.3"/>
    <row r="2182" s="1" customFormat="1" x14ac:dyDescent="0.3"/>
    <row r="2183" s="1" customFormat="1" x14ac:dyDescent="0.3"/>
    <row r="2184" s="1" customFormat="1" x14ac:dyDescent="0.3"/>
    <row r="2185" s="1" customFormat="1" x14ac:dyDescent="0.3"/>
    <row r="2186" s="1" customFormat="1" x14ac:dyDescent="0.3"/>
    <row r="2187" s="1" customFormat="1" x14ac:dyDescent="0.3"/>
    <row r="2188" s="1" customFormat="1" x14ac:dyDescent="0.3"/>
    <row r="2189" s="1" customFormat="1" x14ac:dyDescent="0.3"/>
    <row r="2190" s="1" customFormat="1" x14ac:dyDescent="0.3"/>
    <row r="2191" s="1" customFormat="1" x14ac:dyDescent="0.3"/>
    <row r="2192" s="1" customFormat="1" x14ac:dyDescent="0.3"/>
    <row r="2193" s="1" customFormat="1" x14ac:dyDescent="0.3"/>
    <row r="2194" s="1" customFormat="1" x14ac:dyDescent="0.3"/>
    <row r="2195" s="1" customFormat="1" x14ac:dyDescent="0.3"/>
    <row r="2196" s="1" customFormat="1" x14ac:dyDescent="0.3"/>
    <row r="2197" s="1" customFormat="1" x14ac:dyDescent="0.3"/>
    <row r="2198" s="1" customFormat="1" x14ac:dyDescent="0.3"/>
    <row r="2199" s="1" customFormat="1" x14ac:dyDescent="0.3"/>
    <row r="2200" s="1" customFormat="1" x14ac:dyDescent="0.3"/>
    <row r="2201" s="1" customFormat="1" x14ac:dyDescent="0.3"/>
    <row r="2202" s="1" customFormat="1" x14ac:dyDescent="0.3"/>
    <row r="2203" s="1" customFormat="1" x14ac:dyDescent="0.3"/>
    <row r="2204" s="1" customFormat="1" x14ac:dyDescent="0.3"/>
    <row r="2205" s="1" customFormat="1" x14ac:dyDescent="0.3"/>
    <row r="2206" s="1" customFormat="1" x14ac:dyDescent="0.3"/>
    <row r="2207" s="1" customFormat="1" x14ac:dyDescent="0.3"/>
    <row r="2208" s="1" customFormat="1" x14ac:dyDescent="0.3"/>
    <row r="2209" s="1" customFormat="1" x14ac:dyDescent="0.3"/>
    <row r="2210" s="1" customFormat="1" x14ac:dyDescent="0.3"/>
    <row r="2211" s="1" customFormat="1" x14ac:dyDescent="0.3"/>
    <row r="2212" s="1" customFormat="1" x14ac:dyDescent="0.3"/>
    <row r="2213" s="1" customFormat="1" x14ac:dyDescent="0.3"/>
    <row r="2214" s="1" customFormat="1" x14ac:dyDescent="0.3"/>
    <row r="2215" s="1" customFormat="1" x14ac:dyDescent="0.3"/>
    <row r="2216" s="1" customFormat="1" x14ac:dyDescent="0.3"/>
    <row r="2217" s="1" customFormat="1" x14ac:dyDescent="0.3"/>
    <row r="2218" s="1" customFormat="1" x14ac:dyDescent="0.3"/>
    <row r="2219" s="1" customFormat="1" x14ac:dyDescent="0.3"/>
    <row r="2220" s="1" customFormat="1" x14ac:dyDescent="0.3"/>
    <row r="2221" s="1" customFormat="1" x14ac:dyDescent="0.3"/>
    <row r="2222" s="1" customFormat="1" x14ac:dyDescent="0.3"/>
    <row r="2223" s="1" customFormat="1" x14ac:dyDescent="0.3"/>
    <row r="2224" s="1" customFormat="1" x14ac:dyDescent="0.3"/>
    <row r="2225" s="1" customFormat="1" x14ac:dyDescent="0.3"/>
    <row r="2226" s="1" customFormat="1" x14ac:dyDescent="0.3"/>
    <row r="2227" s="1" customFormat="1" x14ac:dyDescent="0.3"/>
    <row r="2228" s="1" customFormat="1" x14ac:dyDescent="0.3"/>
    <row r="2229" s="1" customFormat="1" x14ac:dyDescent="0.3"/>
    <row r="2230" s="1" customFormat="1" x14ac:dyDescent="0.3"/>
    <row r="2231" s="1" customFormat="1" x14ac:dyDescent="0.3"/>
    <row r="2232" s="1" customFormat="1" x14ac:dyDescent="0.3"/>
    <row r="2233" s="1" customFormat="1" x14ac:dyDescent="0.3"/>
    <row r="2234" s="1" customFormat="1" x14ac:dyDescent="0.3"/>
    <row r="2235" s="1" customFormat="1" x14ac:dyDescent="0.3"/>
    <row r="2236" s="1" customFormat="1" x14ac:dyDescent="0.3"/>
    <row r="2237" s="1" customFormat="1" x14ac:dyDescent="0.3"/>
    <row r="2238" s="1" customFormat="1" x14ac:dyDescent="0.3"/>
    <row r="2239" s="1" customFormat="1" x14ac:dyDescent="0.3"/>
    <row r="2240" s="1" customFormat="1" x14ac:dyDescent="0.3"/>
    <row r="2241" s="1" customFormat="1" x14ac:dyDescent="0.3"/>
    <row r="2242" s="1" customFormat="1" x14ac:dyDescent="0.3"/>
    <row r="2243" s="1" customFormat="1" x14ac:dyDescent="0.3"/>
    <row r="2244" s="1" customFormat="1" x14ac:dyDescent="0.3"/>
    <row r="2245" s="1" customFormat="1" x14ac:dyDescent="0.3"/>
    <row r="2246" s="1" customFormat="1" x14ac:dyDescent="0.3"/>
    <row r="2247" s="1" customFormat="1" x14ac:dyDescent="0.3"/>
    <row r="2248" s="1" customFormat="1" x14ac:dyDescent="0.3"/>
    <row r="2249" s="1" customFormat="1" x14ac:dyDescent="0.3"/>
    <row r="2250" s="1" customFormat="1" x14ac:dyDescent="0.3"/>
    <row r="2251" s="1" customFormat="1" x14ac:dyDescent="0.3"/>
    <row r="2252" s="1" customFormat="1" x14ac:dyDescent="0.3"/>
    <row r="2253" s="1" customFormat="1" x14ac:dyDescent="0.3"/>
    <row r="2254" s="1" customFormat="1" x14ac:dyDescent="0.3"/>
    <row r="2255" s="1" customFormat="1" x14ac:dyDescent="0.3"/>
    <row r="2256" s="1" customFormat="1" x14ac:dyDescent="0.3"/>
    <row r="2257" s="1" customFormat="1" x14ac:dyDescent="0.3"/>
    <row r="2258" s="1" customFormat="1" x14ac:dyDescent="0.3"/>
    <row r="2259" s="1" customFormat="1" x14ac:dyDescent="0.3"/>
    <row r="2260" s="1" customFormat="1" x14ac:dyDescent="0.3"/>
    <row r="2261" s="1" customFormat="1" x14ac:dyDescent="0.3"/>
    <row r="2262" s="1" customFormat="1" x14ac:dyDescent="0.3"/>
    <row r="2263" s="1" customFormat="1" x14ac:dyDescent="0.3"/>
    <row r="2264" s="1" customFormat="1" x14ac:dyDescent="0.3"/>
    <row r="2265" s="1" customFormat="1" x14ac:dyDescent="0.3"/>
    <row r="2266" s="1" customFormat="1" x14ac:dyDescent="0.3"/>
    <row r="2267" s="1" customFormat="1" x14ac:dyDescent="0.3"/>
    <row r="2268" s="1" customFormat="1" x14ac:dyDescent="0.3"/>
    <row r="2269" s="1" customFormat="1" x14ac:dyDescent="0.3"/>
    <row r="2270" s="1" customFormat="1" x14ac:dyDescent="0.3"/>
    <row r="2271" s="1" customFormat="1" x14ac:dyDescent="0.3"/>
    <row r="2272" s="1" customFormat="1" x14ac:dyDescent="0.3"/>
    <row r="2273" s="1" customFormat="1" x14ac:dyDescent="0.3"/>
    <row r="2274" s="1" customFormat="1" x14ac:dyDescent="0.3"/>
    <row r="2275" s="1" customFormat="1" x14ac:dyDescent="0.3"/>
    <row r="2276" s="1" customFormat="1" x14ac:dyDescent="0.3"/>
    <row r="2277" s="1" customFormat="1" x14ac:dyDescent="0.3"/>
    <row r="2278" s="1" customFormat="1" x14ac:dyDescent="0.3"/>
    <row r="2279" s="1" customFormat="1" x14ac:dyDescent="0.3"/>
    <row r="2280" s="1" customFormat="1" x14ac:dyDescent="0.3"/>
    <row r="2281" s="1" customFormat="1" x14ac:dyDescent="0.3"/>
    <row r="2282" s="1" customFormat="1" x14ac:dyDescent="0.3"/>
    <row r="2283" s="1" customFormat="1" x14ac:dyDescent="0.3"/>
    <row r="2284" s="1" customFormat="1" x14ac:dyDescent="0.3"/>
    <row r="2285" s="1" customFormat="1" x14ac:dyDescent="0.3"/>
    <row r="2286" s="1" customFormat="1" x14ac:dyDescent="0.3"/>
    <row r="2287" s="1" customFormat="1" x14ac:dyDescent="0.3"/>
    <row r="2288" s="1" customFormat="1" x14ac:dyDescent="0.3"/>
    <row r="2289" s="1" customFormat="1" x14ac:dyDescent="0.3"/>
    <row r="2290" s="1" customFormat="1" x14ac:dyDescent="0.3"/>
    <row r="2291" s="1" customFormat="1" x14ac:dyDescent="0.3"/>
    <row r="2292" s="1" customFormat="1" x14ac:dyDescent="0.3"/>
    <row r="2293" s="1" customFormat="1" x14ac:dyDescent="0.3"/>
    <row r="2294" s="1" customFormat="1" x14ac:dyDescent="0.3"/>
    <row r="2295" s="1" customFormat="1" x14ac:dyDescent="0.3"/>
    <row r="2296" s="1" customFormat="1" x14ac:dyDescent="0.3"/>
    <row r="2297" s="1" customFormat="1" x14ac:dyDescent="0.3"/>
    <row r="2298" s="1" customFormat="1" x14ac:dyDescent="0.3"/>
    <row r="2299" s="1" customFormat="1" x14ac:dyDescent="0.3"/>
    <row r="2300" s="1" customFormat="1" x14ac:dyDescent="0.3"/>
    <row r="2301" s="1" customFormat="1" x14ac:dyDescent="0.3"/>
    <row r="2302" s="1" customFormat="1" x14ac:dyDescent="0.3"/>
    <row r="2303" s="1" customFormat="1" x14ac:dyDescent="0.3"/>
    <row r="2304" s="1" customFormat="1" x14ac:dyDescent="0.3"/>
    <row r="2305" s="1" customFormat="1" x14ac:dyDescent="0.3"/>
    <row r="2306" s="1" customFormat="1" x14ac:dyDescent="0.3"/>
    <row r="2307" s="1" customFormat="1" x14ac:dyDescent="0.3"/>
    <row r="2308" s="1" customFormat="1" x14ac:dyDescent="0.3"/>
    <row r="2309" s="1" customFormat="1" x14ac:dyDescent="0.3"/>
    <row r="2310" s="1" customFormat="1" x14ac:dyDescent="0.3"/>
    <row r="2311" s="1" customFormat="1" x14ac:dyDescent="0.3"/>
    <row r="2312" s="1" customFormat="1" x14ac:dyDescent="0.3"/>
    <row r="2313" s="1" customFormat="1" x14ac:dyDescent="0.3"/>
    <row r="2314" s="1" customFormat="1" x14ac:dyDescent="0.3"/>
    <row r="2315" s="1" customFormat="1" x14ac:dyDescent="0.3"/>
    <row r="2316" s="1" customFormat="1" x14ac:dyDescent="0.3"/>
    <row r="2317" s="1" customFormat="1" x14ac:dyDescent="0.3"/>
    <row r="2318" s="1" customFormat="1" x14ac:dyDescent="0.3"/>
    <row r="2319" s="1" customFormat="1" x14ac:dyDescent="0.3"/>
    <row r="2320" s="1" customFormat="1" x14ac:dyDescent="0.3"/>
    <row r="2321" s="1" customFormat="1" x14ac:dyDescent="0.3"/>
    <row r="2322" s="1" customFormat="1" x14ac:dyDescent="0.3"/>
    <row r="2323" s="1" customFormat="1" x14ac:dyDescent="0.3"/>
    <row r="2324" s="1" customFormat="1" x14ac:dyDescent="0.3"/>
    <row r="2325" s="1" customFormat="1" x14ac:dyDescent="0.3"/>
    <row r="2326" s="1" customFormat="1" x14ac:dyDescent="0.3"/>
    <row r="2327" s="1" customFormat="1" x14ac:dyDescent="0.3"/>
    <row r="2328" s="1" customFormat="1" x14ac:dyDescent="0.3"/>
    <row r="2329" s="1" customFormat="1" x14ac:dyDescent="0.3"/>
    <row r="2330" s="1" customFormat="1" x14ac:dyDescent="0.3"/>
    <row r="2331" s="1" customFormat="1" x14ac:dyDescent="0.3"/>
    <row r="2332" s="1" customFormat="1" x14ac:dyDescent="0.3"/>
    <row r="2333" s="1" customFormat="1" x14ac:dyDescent="0.3"/>
    <row r="2334" s="1" customFormat="1" x14ac:dyDescent="0.3"/>
    <row r="2335" s="1" customFormat="1" x14ac:dyDescent="0.3"/>
    <row r="2336" s="1" customFormat="1" x14ac:dyDescent="0.3"/>
    <row r="2337" s="1" customFormat="1" x14ac:dyDescent="0.3"/>
    <row r="2338" s="1" customFormat="1" x14ac:dyDescent="0.3"/>
    <row r="2339" s="1" customFormat="1" x14ac:dyDescent="0.3"/>
    <row r="2340" s="1" customFormat="1" x14ac:dyDescent="0.3"/>
    <row r="2341" s="1" customFormat="1" x14ac:dyDescent="0.3"/>
    <row r="2342" s="1" customFormat="1" x14ac:dyDescent="0.3"/>
    <row r="2343" s="1" customFormat="1" x14ac:dyDescent="0.3"/>
    <row r="2344" s="1" customFormat="1" x14ac:dyDescent="0.3"/>
    <row r="2345" s="1" customFormat="1" x14ac:dyDescent="0.3"/>
    <row r="2346" s="1" customFormat="1" x14ac:dyDescent="0.3"/>
    <row r="2347" s="1" customFormat="1" x14ac:dyDescent="0.3"/>
    <row r="2348" s="1" customFormat="1" x14ac:dyDescent="0.3"/>
    <row r="2349" s="1" customFormat="1" x14ac:dyDescent="0.3"/>
    <row r="2350" s="1" customFormat="1" x14ac:dyDescent="0.3"/>
    <row r="2351" s="1" customFormat="1" x14ac:dyDescent="0.3"/>
    <row r="2352" s="1" customFormat="1" x14ac:dyDescent="0.3"/>
    <row r="2353" s="1" customFormat="1" x14ac:dyDescent="0.3"/>
    <row r="2354" s="1" customFormat="1" x14ac:dyDescent="0.3"/>
    <row r="2355" s="1" customFormat="1" x14ac:dyDescent="0.3"/>
    <row r="2356" s="1" customFormat="1" x14ac:dyDescent="0.3"/>
    <row r="2357" s="1" customFormat="1" x14ac:dyDescent="0.3"/>
    <row r="2358" s="1" customFormat="1" x14ac:dyDescent="0.3"/>
    <row r="2359" s="1" customFormat="1" x14ac:dyDescent="0.3"/>
    <row r="2360" s="1" customFormat="1" x14ac:dyDescent="0.3"/>
    <row r="2361" s="1" customFormat="1" x14ac:dyDescent="0.3"/>
    <row r="2362" s="1" customFormat="1" x14ac:dyDescent="0.3"/>
    <row r="2363" s="1" customFormat="1" x14ac:dyDescent="0.3"/>
    <row r="2364" s="1" customFormat="1" x14ac:dyDescent="0.3"/>
    <row r="2365" s="1" customFormat="1" x14ac:dyDescent="0.3"/>
    <row r="2366" s="1" customFormat="1" x14ac:dyDescent="0.3"/>
    <row r="2367" s="1" customFormat="1" x14ac:dyDescent="0.3"/>
    <row r="2368" s="1" customFormat="1" x14ac:dyDescent="0.3"/>
    <row r="2369" s="1" customFormat="1" x14ac:dyDescent="0.3"/>
    <row r="2370" s="1" customFormat="1" x14ac:dyDescent="0.3"/>
    <row r="2371" s="1" customFormat="1" x14ac:dyDescent="0.3"/>
    <row r="2372" s="1" customFormat="1" x14ac:dyDescent="0.3"/>
    <row r="2373" s="1" customFormat="1" x14ac:dyDescent="0.3"/>
    <row r="2374" s="1" customFormat="1" x14ac:dyDescent="0.3"/>
    <row r="2375" s="1" customFormat="1" x14ac:dyDescent="0.3"/>
    <row r="2376" s="1" customFormat="1" x14ac:dyDescent="0.3"/>
    <row r="2377" s="1" customFormat="1" x14ac:dyDescent="0.3"/>
    <row r="2378" s="1" customFormat="1" x14ac:dyDescent="0.3"/>
    <row r="2379" s="1" customFormat="1" x14ac:dyDescent="0.3"/>
    <row r="2380" s="1" customFormat="1" x14ac:dyDescent="0.3"/>
    <row r="2381" s="1" customFormat="1" x14ac:dyDescent="0.3"/>
    <row r="2382" s="1" customFormat="1" x14ac:dyDescent="0.3"/>
    <row r="2383" s="1" customFormat="1" x14ac:dyDescent="0.3"/>
    <row r="2384" s="1" customFormat="1" x14ac:dyDescent="0.3"/>
    <row r="2385" s="1" customFormat="1" x14ac:dyDescent="0.3"/>
    <row r="2386" s="1" customFormat="1" x14ac:dyDescent="0.3"/>
    <row r="2387" s="1" customFormat="1" x14ac:dyDescent="0.3"/>
    <row r="2388" s="1" customFormat="1" x14ac:dyDescent="0.3"/>
    <row r="2389" s="1" customFormat="1" x14ac:dyDescent="0.3"/>
    <row r="2390" s="1" customFormat="1" x14ac:dyDescent="0.3"/>
    <row r="2391" s="1" customFormat="1" x14ac:dyDescent="0.3"/>
    <row r="2392" s="1" customFormat="1" x14ac:dyDescent="0.3"/>
    <row r="2393" s="1" customFormat="1" x14ac:dyDescent="0.3"/>
    <row r="2394" s="1" customFormat="1" x14ac:dyDescent="0.3"/>
    <row r="2395" s="1" customFormat="1" x14ac:dyDescent="0.3"/>
    <row r="2396" s="1" customFormat="1" x14ac:dyDescent="0.3"/>
    <row r="2397" s="1" customFormat="1" x14ac:dyDescent="0.3"/>
    <row r="2398" s="1" customFormat="1" x14ac:dyDescent="0.3"/>
    <row r="2399" s="1" customFormat="1" x14ac:dyDescent="0.3"/>
    <row r="2400" s="1" customFormat="1" x14ac:dyDescent="0.3"/>
    <row r="2401" s="1" customFormat="1" x14ac:dyDescent="0.3"/>
    <row r="2402" s="1" customFormat="1" x14ac:dyDescent="0.3"/>
    <row r="2403" s="1" customFormat="1" x14ac:dyDescent="0.3"/>
    <row r="2404" s="1" customFormat="1" x14ac:dyDescent="0.3"/>
    <row r="2405" s="1" customFormat="1" x14ac:dyDescent="0.3"/>
    <row r="2406" s="1" customFormat="1" x14ac:dyDescent="0.3"/>
    <row r="2407" s="1" customFormat="1" x14ac:dyDescent="0.3"/>
    <row r="2408" s="1" customFormat="1" x14ac:dyDescent="0.3"/>
    <row r="2409" s="1" customFormat="1" x14ac:dyDescent="0.3"/>
    <row r="2410" s="1" customFormat="1" x14ac:dyDescent="0.3"/>
    <row r="2411" s="1" customFormat="1" x14ac:dyDescent="0.3"/>
    <row r="2412" s="1" customFormat="1" x14ac:dyDescent="0.3"/>
    <row r="2413" s="1" customFormat="1" x14ac:dyDescent="0.3"/>
    <row r="2414" s="1" customFormat="1" x14ac:dyDescent="0.3"/>
    <row r="2415" s="1" customFormat="1" x14ac:dyDescent="0.3"/>
    <row r="2416" s="1" customFormat="1" x14ac:dyDescent="0.3"/>
    <row r="2417" s="1" customFormat="1" x14ac:dyDescent="0.3"/>
    <row r="2418" s="1" customFormat="1" x14ac:dyDescent="0.3"/>
    <row r="2419" s="1" customFormat="1" x14ac:dyDescent="0.3"/>
    <row r="2420" s="1" customFormat="1" x14ac:dyDescent="0.3"/>
    <row r="2421" s="1" customFormat="1" x14ac:dyDescent="0.3"/>
    <row r="2422" s="1" customFormat="1" x14ac:dyDescent="0.3"/>
    <row r="2423" s="1" customFormat="1" x14ac:dyDescent="0.3"/>
    <row r="2424" s="1" customFormat="1" x14ac:dyDescent="0.3"/>
    <row r="2425" s="1" customFormat="1" x14ac:dyDescent="0.3"/>
    <row r="2426" s="1" customFormat="1" x14ac:dyDescent="0.3"/>
    <row r="2427" s="1" customFormat="1" x14ac:dyDescent="0.3"/>
    <row r="2428" s="1" customFormat="1" x14ac:dyDescent="0.3"/>
    <row r="2429" s="1" customFormat="1" x14ac:dyDescent="0.3"/>
    <row r="2430" s="1" customFormat="1" x14ac:dyDescent="0.3"/>
    <row r="2431" s="1" customFormat="1" x14ac:dyDescent="0.3"/>
    <row r="2432" s="1" customFormat="1" x14ac:dyDescent="0.3"/>
    <row r="2433" s="1" customFormat="1" x14ac:dyDescent="0.3"/>
    <row r="2434" s="1" customFormat="1" x14ac:dyDescent="0.3"/>
    <row r="2435" s="1" customFormat="1" x14ac:dyDescent="0.3"/>
    <row r="2436" s="1" customFormat="1" x14ac:dyDescent="0.3"/>
    <row r="2437" s="1" customFormat="1" x14ac:dyDescent="0.3"/>
    <row r="2438" s="1" customFormat="1" x14ac:dyDescent="0.3"/>
    <row r="2439" s="1" customFormat="1" x14ac:dyDescent="0.3"/>
    <row r="2440" s="1" customFormat="1" x14ac:dyDescent="0.3"/>
    <row r="2441" s="1" customFormat="1" x14ac:dyDescent="0.3"/>
    <row r="2442" s="1" customFormat="1" x14ac:dyDescent="0.3"/>
    <row r="2443" s="1" customFormat="1" x14ac:dyDescent="0.3"/>
    <row r="2444" s="1" customFormat="1" x14ac:dyDescent="0.3"/>
    <row r="2445" s="1" customFormat="1" x14ac:dyDescent="0.3"/>
    <row r="2446" s="1" customFormat="1" x14ac:dyDescent="0.3"/>
    <row r="2447" s="1" customFormat="1" x14ac:dyDescent="0.3"/>
    <row r="2448" s="1" customFormat="1" x14ac:dyDescent="0.3"/>
    <row r="2449" s="1" customFormat="1" x14ac:dyDescent="0.3"/>
    <row r="2450" s="1" customFormat="1" x14ac:dyDescent="0.3"/>
    <row r="2451" s="1" customFormat="1" x14ac:dyDescent="0.3"/>
    <row r="2452" s="1" customFormat="1" x14ac:dyDescent="0.3"/>
    <row r="2453" s="1" customFormat="1" x14ac:dyDescent="0.3"/>
    <row r="2454" s="1" customFormat="1" x14ac:dyDescent="0.3"/>
    <row r="2455" s="1" customFormat="1" x14ac:dyDescent="0.3"/>
    <row r="2456" s="1" customFormat="1" x14ac:dyDescent="0.3"/>
    <row r="2457" s="1" customFormat="1" x14ac:dyDescent="0.3"/>
    <row r="2458" s="1" customFormat="1" x14ac:dyDescent="0.3"/>
    <row r="2459" s="1" customFormat="1" x14ac:dyDescent="0.3"/>
    <row r="2460" s="1" customFormat="1" x14ac:dyDescent="0.3"/>
    <row r="2461" s="1" customFormat="1" x14ac:dyDescent="0.3"/>
    <row r="2462" s="1" customFormat="1" x14ac:dyDescent="0.3"/>
    <row r="2463" s="1" customFormat="1" x14ac:dyDescent="0.3"/>
    <row r="2464" s="1" customFormat="1" x14ac:dyDescent="0.3"/>
    <row r="2465" s="1" customFormat="1" x14ac:dyDescent="0.3"/>
    <row r="2466" s="1" customFormat="1" x14ac:dyDescent="0.3"/>
    <row r="2467" s="1" customFormat="1" x14ac:dyDescent="0.3"/>
    <row r="2468" s="1" customFormat="1" x14ac:dyDescent="0.3"/>
    <row r="2469" s="1" customFormat="1" x14ac:dyDescent="0.3"/>
    <row r="2470" s="1" customFormat="1" x14ac:dyDescent="0.3"/>
    <row r="2471" s="1" customFormat="1" x14ac:dyDescent="0.3"/>
    <row r="2472" s="1" customFormat="1" x14ac:dyDescent="0.3"/>
    <row r="2473" s="1" customFormat="1" x14ac:dyDescent="0.3"/>
    <row r="2474" s="1" customFormat="1" x14ac:dyDescent="0.3"/>
    <row r="2475" s="1" customFormat="1" x14ac:dyDescent="0.3"/>
    <row r="2476" s="1" customFormat="1" x14ac:dyDescent="0.3"/>
    <row r="2477" s="1" customFormat="1" x14ac:dyDescent="0.3"/>
    <row r="2478" s="1" customFormat="1" x14ac:dyDescent="0.3"/>
    <row r="2479" s="1" customFormat="1" x14ac:dyDescent="0.3"/>
    <row r="2480" s="1" customFormat="1" x14ac:dyDescent="0.3"/>
    <row r="2481" s="1" customFormat="1" x14ac:dyDescent="0.3"/>
    <row r="2482" s="1" customFormat="1" x14ac:dyDescent="0.3"/>
    <row r="2483" s="1" customFormat="1" x14ac:dyDescent="0.3"/>
    <row r="2484" s="1" customFormat="1" x14ac:dyDescent="0.3"/>
    <row r="2485" s="1" customFormat="1" x14ac:dyDescent="0.3"/>
    <row r="2486" s="1" customFormat="1" x14ac:dyDescent="0.3"/>
    <row r="2487" s="1" customFormat="1" x14ac:dyDescent="0.3"/>
    <row r="2488" s="1" customFormat="1" x14ac:dyDescent="0.3"/>
    <row r="2489" s="1" customFormat="1" x14ac:dyDescent="0.3"/>
    <row r="2490" s="1" customFormat="1" x14ac:dyDescent="0.3"/>
    <row r="2491" s="1" customFormat="1" x14ac:dyDescent="0.3"/>
    <row r="2492" s="1" customFormat="1" x14ac:dyDescent="0.3"/>
    <row r="2493" s="1" customFormat="1" x14ac:dyDescent="0.3"/>
    <row r="2494" s="1" customFormat="1" x14ac:dyDescent="0.3"/>
    <row r="2495" s="1" customFormat="1" x14ac:dyDescent="0.3"/>
    <row r="2496" s="1" customFormat="1" x14ac:dyDescent="0.3"/>
    <row r="2497" s="1" customFormat="1" x14ac:dyDescent="0.3"/>
    <row r="2498" s="1" customFormat="1" x14ac:dyDescent="0.3"/>
    <row r="2499" s="1" customFormat="1" x14ac:dyDescent="0.3"/>
    <row r="2500" s="1" customFormat="1" x14ac:dyDescent="0.3"/>
    <row r="2501" s="1" customFormat="1" x14ac:dyDescent="0.3"/>
    <row r="2502" s="1" customFormat="1" x14ac:dyDescent="0.3"/>
    <row r="2503" s="1" customFormat="1" x14ac:dyDescent="0.3"/>
    <row r="2504" s="1" customFormat="1" x14ac:dyDescent="0.3"/>
    <row r="2505" s="1" customFormat="1" x14ac:dyDescent="0.3"/>
    <row r="2506" s="1" customFormat="1" x14ac:dyDescent="0.3"/>
    <row r="2507" s="1" customFormat="1" x14ac:dyDescent="0.3"/>
    <row r="2508" s="1" customFormat="1" x14ac:dyDescent="0.3"/>
    <row r="2509" s="1" customFormat="1" x14ac:dyDescent="0.3"/>
    <row r="2510" s="1" customFormat="1" x14ac:dyDescent="0.3"/>
    <row r="2511" s="1" customFormat="1" x14ac:dyDescent="0.3"/>
    <row r="2512" s="1" customFormat="1" x14ac:dyDescent="0.3"/>
    <row r="2513" s="1" customFormat="1" x14ac:dyDescent="0.3"/>
    <row r="2514" s="1" customFormat="1" x14ac:dyDescent="0.3"/>
    <row r="2515" s="1" customFormat="1" x14ac:dyDescent="0.3"/>
    <row r="2516" s="1" customFormat="1" x14ac:dyDescent="0.3"/>
    <row r="2517" s="1" customFormat="1" x14ac:dyDescent="0.3"/>
    <row r="2518" s="1" customFormat="1" x14ac:dyDescent="0.3"/>
    <row r="2519" s="1" customFormat="1" x14ac:dyDescent="0.3"/>
    <row r="2520" s="1" customFormat="1" x14ac:dyDescent="0.3"/>
    <row r="2521" s="1" customFormat="1" x14ac:dyDescent="0.3"/>
    <row r="2522" s="1" customFormat="1" x14ac:dyDescent="0.3"/>
    <row r="2523" s="1" customFormat="1" x14ac:dyDescent="0.3"/>
    <row r="2524" s="1" customFormat="1" x14ac:dyDescent="0.3"/>
    <row r="2525" s="1" customFormat="1" x14ac:dyDescent="0.3"/>
    <row r="2526" s="1" customFormat="1" x14ac:dyDescent="0.3"/>
    <row r="2527" s="1" customFormat="1" x14ac:dyDescent="0.3"/>
    <row r="2528" s="1" customFormat="1" x14ac:dyDescent="0.3"/>
    <row r="2529" s="1" customFormat="1" x14ac:dyDescent="0.3"/>
    <row r="2530" s="1" customFormat="1" x14ac:dyDescent="0.3"/>
    <row r="2531" s="1" customFormat="1" x14ac:dyDescent="0.3"/>
    <row r="2532" s="1" customFormat="1" x14ac:dyDescent="0.3"/>
    <row r="2533" s="1" customFormat="1" x14ac:dyDescent="0.3"/>
    <row r="2534" s="1" customFormat="1" x14ac:dyDescent="0.3"/>
    <row r="2535" s="1" customFormat="1" x14ac:dyDescent="0.3"/>
    <row r="2536" s="1" customFormat="1" x14ac:dyDescent="0.3"/>
    <row r="2537" s="1" customFormat="1" x14ac:dyDescent="0.3"/>
    <row r="2538" s="1" customFormat="1" x14ac:dyDescent="0.3"/>
    <row r="2539" s="1" customFormat="1" x14ac:dyDescent="0.3"/>
    <row r="2540" s="1" customFormat="1" x14ac:dyDescent="0.3"/>
    <row r="2541" s="1" customFormat="1" x14ac:dyDescent="0.3"/>
    <row r="2542" s="1" customFormat="1" x14ac:dyDescent="0.3"/>
    <row r="2543" s="1" customFormat="1" x14ac:dyDescent="0.3"/>
    <row r="2544" s="1" customFormat="1" x14ac:dyDescent="0.3"/>
    <row r="2545" s="1" customFormat="1" x14ac:dyDescent="0.3"/>
    <row r="2546" s="1" customFormat="1" x14ac:dyDescent="0.3"/>
    <row r="2547" s="1" customFormat="1" x14ac:dyDescent="0.3"/>
    <row r="2548" s="1" customFormat="1" x14ac:dyDescent="0.3"/>
    <row r="2549" s="1" customFormat="1" x14ac:dyDescent="0.3"/>
    <row r="2550" s="1" customFormat="1" x14ac:dyDescent="0.3"/>
    <row r="2551" s="1" customFormat="1" x14ac:dyDescent="0.3"/>
    <row r="2552" s="1" customFormat="1" x14ac:dyDescent="0.3"/>
    <row r="2553" s="1" customFormat="1" x14ac:dyDescent="0.3"/>
    <row r="2554" s="1" customFormat="1" x14ac:dyDescent="0.3"/>
    <row r="2555" s="1" customFormat="1" x14ac:dyDescent="0.3"/>
    <row r="2556" s="1" customFormat="1" x14ac:dyDescent="0.3"/>
    <row r="2557" s="1" customFormat="1" x14ac:dyDescent="0.3"/>
    <row r="2558" s="1" customFormat="1" x14ac:dyDescent="0.3"/>
    <row r="2559" s="1" customFormat="1" x14ac:dyDescent="0.3"/>
    <row r="2560" s="1" customFormat="1" x14ac:dyDescent="0.3"/>
    <row r="2561" s="1" customFormat="1" x14ac:dyDescent="0.3"/>
    <row r="2562" s="1" customFormat="1" x14ac:dyDescent="0.3"/>
    <row r="2563" s="1" customFormat="1" x14ac:dyDescent="0.3"/>
    <row r="2564" s="1" customFormat="1" x14ac:dyDescent="0.3"/>
    <row r="2565" s="1" customFormat="1" x14ac:dyDescent="0.3"/>
    <row r="2566" s="1" customFormat="1" x14ac:dyDescent="0.3"/>
    <row r="2567" s="1" customFormat="1" x14ac:dyDescent="0.3"/>
    <row r="2568" s="1" customFormat="1" x14ac:dyDescent="0.3"/>
    <row r="2569" s="1" customFormat="1" x14ac:dyDescent="0.3"/>
    <row r="2570" s="1" customFormat="1" x14ac:dyDescent="0.3"/>
    <row r="2571" s="1" customFormat="1" x14ac:dyDescent="0.3"/>
    <row r="2572" s="1" customFormat="1" x14ac:dyDescent="0.3"/>
    <row r="2573" s="1" customFormat="1" x14ac:dyDescent="0.3"/>
    <row r="2574" s="1" customFormat="1" x14ac:dyDescent="0.3"/>
    <row r="2575" s="1" customFormat="1" x14ac:dyDescent="0.3"/>
    <row r="2576" s="1" customFormat="1" x14ac:dyDescent="0.3"/>
    <row r="2577" s="1" customFormat="1" x14ac:dyDescent="0.3"/>
    <row r="2578" s="1" customFormat="1" x14ac:dyDescent="0.3"/>
    <row r="2579" s="1" customFormat="1" x14ac:dyDescent="0.3"/>
    <row r="2580" s="1" customFormat="1" x14ac:dyDescent="0.3"/>
    <row r="2581" s="1" customFormat="1" x14ac:dyDescent="0.3"/>
    <row r="2582" s="1" customFormat="1" x14ac:dyDescent="0.3"/>
    <row r="2583" s="1" customFormat="1" x14ac:dyDescent="0.3"/>
    <row r="2584" s="1" customFormat="1" x14ac:dyDescent="0.3"/>
    <row r="2585" s="1" customFormat="1" x14ac:dyDescent="0.3"/>
    <row r="2586" s="1" customFormat="1" x14ac:dyDescent="0.3"/>
    <row r="2587" s="1" customFormat="1" x14ac:dyDescent="0.3"/>
    <row r="2588" s="1" customFormat="1" x14ac:dyDescent="0.3"/>
    <row r="2589" s="1" customFormat="1" x14ac:dyDescent="0.3"/>
    <row r="2590" s="1" customFormat="1" x14ac:dyDescent="0.3"/>
    <row r="2591" s="1" customFormat="1" x14ac:dyDescent="0.3"/>
    <row r="2592" s="1" customFormat="1" x14ac:dyDescent="0.3"/>
    <row r="2593" s="1" customFormat="1" x14ac:dyDescent="0.3"/>
    <row r="2594" s="1" customFormat="1" x14ac:dyDescent="0.3"/>
    <row r="2595" s="1" customFormat="1" x14ac:dyDescent="0.3"/>
    <row r="2596" s="1" customFormat="1" x14ac:dyDescent="0.3"/>
    <row r="2597" s="1" customFormat="1" x14ac:dyDescent="0.3"/>
    <row r="2598" s="1" customFormat="1" x14ac:dyDescent="0.3"/>
    <row r="2599" s="1" customFormat="1" x14ac:dyDescent="0.3"/>
    <row r="2600" s="1" customFormat="1" x14ac:dyDescent="0.3"/>
    <row r="2601" s="1" customFormat="1" x14ac:dyDescent="0.3"/>
    <row r="2602" s="1" customFormat="1" x14ac:dyDescent="0.3"/>
    <row r="2603" s="1" customFormat="1" x14ac:dyDescent="0.3"/>
    <row r="2604" s="1" customFormat="1" x14ac:dyDescent="0.3"/>
    <row r="2605" s="1" customFormat="1" x14ac:dyDescent="0.3"/>
    <row r="2606" s="1" customFormat="1" x14ac:dyDescent="0.3"/>
    <row r="2607" s="1" customFormat="1" x14ac:dyDescent="0.3"/>
    <row r="2608" s="1" customFormat="1" x14ac:dyDescent="0.3"/>
    <row r="2609" s="1" customFormat="1" x14ac:dyDescent="0.3"/>
    <row r="2610" s="1" customFormat="1" x14ac:dyDescent="0.3"/>
    <row r="2611" s="1" customFormat="1" x14ac:dyDescent="0.3"/>
    <row r="2612" s="1" customFormat="1" x14ac:dyDescent="0.3"/>
    <row r="2613" s="1" customFormat="1" x14ac:dyDescent="0.3"/>
    <row r="2614" s="1" customFormat="1" x14ac:dyDescent="0.3"/>
    <row r="2615" s="1" customFormat="1" x14ac:dyDescent="0.3"/>
    <row r="2616" s="1" customFormat="1" x14ac:dyDescent="0.3"/>
    <row r="2617" s="1" customFormat="1" x14ac:dyDescent="0.3"/>
    <row r="2618" s="1" customFormat="1" x14ac:dyDescent="0.3"/>
    <row r="2619" s="1" customFormat="1" x14ac:dyDescent="0.3"/>
    <row r="2620" s="1" customFormat="1" x14ac:dyDescent="0.3"/>
    <row r="2621" s="1" customFormat="1" x14ac:dyDescent="0.3"/>
    <row r="2622" s="1" customFormat="1" x14ac:dyDescent="0.3"/>
    <row r="2623" s="1" customFormat="1" x14ac:dyDescent="0.3"/>
    <row r="2624" s="1" customFormat="1" x14ac:dyDescent="0.3"/>
    <row r="2625" s="1" customFormat="1" x14ac:dyDescent="0.3"/>
    <row r="2626" s="1" customFormat="1" x14ac:dyDescent="0.3"/>
    <row r="2627" s="1" customFormat="1" x14ac:dyDescent="0.3"/>
    <row r="2628" s="1" customFormat="1" x14ac:dyDescent="0.3"/>
    <row r="2629" s="1" customFormat="1" x14ac:dyDescent="0.3"/>
    <row r="2630" s="1" customFormat="1" x14ac:dyDescent="0.3"/>
    <row r="2631" s="1" customFormat="1" x14ac:dyDescent="0.3"/>
    <row r="2632" s="1" customFormat="1" x14ac:dyDescent="0.3"/>
    <row r="2633" s="1" customFormat="1" x14ac:dyDescent="0.3"/>
    <row r="2634" s="1" customFormat="1" x14ac:dyDescent="0.3"/>
    <row r="2635" s="1" customFormat="1" x14ac:dyDescent="0.3"/>
    <row r="2636" s="1" customFormat="1" x14ac:dyDescent="0.3"/>
    <row r="2637" s="1" customFormat="1" x14ac:dyDescent="0.3"/>
    <row r="2638" s="1" customFormat="1" x14ac:dyDescent="0.3"/>
    <row r="2639" s="1" customFormat="1" x14ac:dyDescent="0.3"/>
    <row r="2640" s="1" customFormat="1" x14ac:dyDescent="0.3"/>
    <row r="2641" s="1" customFormat="1" x14ac:dyDescent="0.3"/>
    <row r="2642" s="1" customFormat="1" x14ac:dyDescent="0.3"/>
    <row r="2643" s="1" customFormat="1" x14ac:dyDescent="0.3"/>
    <row r="2644" s="1" customFormat="1" x14ac:dyDescent="0.3"/>
    <row r="2645" s="1" customFormat="1" x14ac:dyDescent="0.3"/>
    <row r="2646" s="1" customFormat="1" x14ac:dyDescent="0.3"/>
    <row r="2647" s="1" customFormat="1" x14ac:dyDescent="0.3"/>
    <row r="2648" s="1" customFormat="1" x14ac:dyDescent="0.3"/>
    <row r="2649" s="1" customFormat="1" x14ac:dyDescent="0.3"/>
    <row r="2650" s="1" customFormat="1" x14ac:dyDescent="0.3"/>
    <row r="2651" s="1" customFormat="1" x14ac:dyDescent="0.3"/>
    <row r="2652" s="1" customFormat="1" x14ac:dyDescent="0.3"/>
    <row r="2653" s="1" customFormat="1" x14ac:dyDescent="0.3"/>
    <row r="2654" s="1" customFormat="1" x14ac:dyDescent="0.3"/>
    <row r="2655" s="1" customFormat="1" x14ac:dyDescent="0.3"/>
    <row r="2656" s="1" customFormat="1" x14ac:dyDescent="0.3"/>
    <row r="2657" s="1" customFormat="1" x14ac:dyDescent="0.3"/>
    <row r="2658" s="1" customFormat="1" x14ac:dyDescent="0.3"/>
    <row r="2659" s="1" customFormat="1" x14ac:dyDescent="0.3"/>
    <row r="2660" s="1" customFormat="1" x14ac:dyDescent="0.3"/>
    <row r="2661" s="1" customFormat="1" x14ac:dyDescent="0.3"/>
    <row r="2662" s="1" customFormat="1" x14ac:dyDescent="0.3"/>
    <row r="2663" s="1" customFormat="1" x14ac:dyDescent="0.3"/>
    <row r="2664" s="1" customFormat="1" x14ac:dyDescent="0.3"/>
    <row r="2665" s="1" customFormat="1" x14ac:dyDescent="0.3"/>
    <row r="2666" s="1" customFormat="1" x14ac:dyDescent="0.3"/>
    <row r="2667" s="1" customFormat="1" x14ac:dyDescent="0.3"/>
    <row r="2668" s="1" customFormat="1" x14ac:dyDescent="0.3"/>
    <row r="2669" s="1" customFormat="1" x14ac:dyDescent="0.3"/>
    <row r="2670" s="1" customFormat="1" x14ac:dyDescent="0.3"/>
    <row r="2671" s="1" customFormat="1" x14ac:dyDescent="0.3"/>
    <row r="2672" s="1" customFormat="1" x14ac:dyDescent="0.3"/>
    <row r="2673" s="1" customFormat="1" x14ac:dyDescent="0.3"/>
    <row r="2674" s="1" customFormat="1" x14ac:dyDescent="0.3"/>
    <row r="2675" s="1" customFormat="1" x14ac:dyDescent="0.3"/>
    <row r="2676" s="1" customFormat="1" x14ac:dyDescent="0.3"/>
    <row r="2677" s="1" customFormat="1" x14ac:dyDescent="0.3"/>
    <row r="2678" s="1" customFormat="1" x14ac:dyDescent="0.3"/>
    <row r="2679" s="1" customFormat="1" x14ac:dyDescent="0.3"/>
    <row r="2680" s="1" customFormat="1" x14ac:dyDescent="0.3"/>
    <row r="2681" s="1" customFormat="1" x14ac:dyDescent="0.3"/>
    <row r="2682" s="1" customFormat="1" x14ac:dyDescent="0.3"/>
    <row r="2683" s="1" customFormat="1" x14ac:dyDescent="0.3"/>
    <row r="2684" s="1" customFormat="1" x14ac:dyDescent="0.3"/>
    <row r="2685" s="1" customFormat="1" x14ac:dyDescent="0.3"/>
    <row r="2686" s="1" customFormat="1" x14ac:dyDescent="0.3"/>
    <row r="2687" s="1" customFormat="1" x14ac:dyDescent="0.3"/>
    <row r="2688" s="1" customFormat="1" x14ac:dyDescent="0.3"/>
    <row r="2689" s="1" customFormat="1" x14ac:dyDescent="0.3"/>
    <row r="2690" s="1" customFormat="1" x14ac:dyDescent="0.3"/>
    <row r="2691" s="1" customFormat="1" x14ac:dyDescent="0.3"/>
    <row r="2692" s="1" customFormat="1" x14ac:dyDescent="0.3"/>
    <row r="2693" s="1" customFormat="1" x14ac:dyDescent="0.3"/>
    <row r="2694" s="1" customFormat="1" x14ac:dyDescent="0.3"/>
    <row r="2695" s="1" customFormat="1" x14ac:dyDescent="0.3"/>
    <row r="2696" s="1" customFormat="1" x14ac:dyDescent="0.3"/>
    <row r="2697" s="1" customFormat="1" x14ac:dyDescent="0.3"/>
    <row r="2698" s="1" customFormat="1" x14ac:dyDescent="0.3"/>
    <row r="2699" s="1" customFormat="1" x14ac:dyDescent="0.3"/>
    <row r="2700" s="1" customFormat="1" x14ac:dyDescent="0.3"/>
    <row r="2701" s="1" customFormat="1" x14ac:dyDescent="0.3"/>
    <row r="2702" s="1" customFormat="1" x14ac:dyDescent="0.3"/>
    <row r="2703" s="1" customFormat="1" x14ac:dyDescent="0.3"/>
    <row r="2704" s="1" customFormat="1" x14ac:dyDescent="0.3"/>
    <row r="2705" s="1" customFormat="1" x14ac:dyDescent="0.3"/>
    <row r="2706" s="1" customFormat="1" x14ac:dyDescent="0.3"/>
    <row r="2707" s="1" customFormat="1" x14ac:dyDescent="0.3"/>
    <row r="2708" s="1" customFormat="1" x14ac:dyDescent="0.3"/>
    <row r="2709" s="1" customFormat="1" x14ac:dyDescent="0.3"/>
    <row r="2710" s="1" customFormat="1" x14ac:dyDescent="0.3"/>
    <row r="2711" s="1" customFormat="1" x14ac:dyDescent="0.3"/>
    <row r="2712" s="1" customFormat="1" x14ac:dyDescent="0.3"/>
    <row r="2713" s="1" customFormat="1" x14ac:dyDescent="0.3"/>
    <row r="2714" s="1" customFormat="1" x14ac:dyDescent="0.3"/>
    <row r="2715" s="1" customFormat="1" x14ac:dyDescent="0.3"/>
    <row r="2716" s="1" customFormat="1" x14ac:dyDescent="0.3"/>
    <row r="2717" s="1" customFormat="1" x14ac:dyDescent="0.3"/>
    <row r="2718" s="1" customFormat="1" x14ac:dyDescent="0.3"/>
    <row r="2719" s="1" customFormat="1" x14ac:dyDescent="0.3"/>
    <row r="2720" s="1" customFormat="1" x14ac:dyDescent="0.3"/>
    <row r="2721" s="1" customFormat="1" x14ac:dyDescent="0.3"/>
    <row r="2722" s="1" customFormat="1" x14ac:dyDescent="0.3"/>
    <row r="2723" s="1" customFormat="1" x14ac:dyDescent="0.3"/>
    <row r="2724" s="1" customFormat="1" x14ac:dyDescent="0.3"/>
    <row r="2725" s="1" customFormat="1" x14ac:dyDescent="0.3"/>
    <row r="2726" s="1" customFormat="1" x14ac:dyDescent="0.3"/>
    <row r="2727" s="1" customFormat="1" x14ac:dyDescent="0.3"/>
    <row r="2728" s="1" customFormat="1" x14ac:dyDescent="0.3"/>
    <row r="2729" s="1" customFormat="1" x14ac:dyDescent="0.3"/>
    <row r="2730" s="1" customFormat="1" x14ac:dyDescent="0.3"/>
    <row r="2731" s="1" customFormat="1" x14ac:dyDescent="0.3"/>
    <row r="2732" s="1" customFormat="1" x14ac:dyDescent="0.3"/>
    <row r="2733" s="1" customFormat="1" x14ac:dyDescent="0.3"/>
    <row r="2734" s="1" customFormat="1" x14ac:dyDescent="0.3"/>
    <row r="2735" s="1" customFormat="1" x14ac:dyDescent="0.3"/>
    <row r="2736" s="1" customFormat="1" x14ac:dyDescent="0.3"/>
    <row r="2737" s="1" customFormat="1" x14ac:dyDescent="0.3"/>
    <row r="2738" s="1" customFormat="1" x14ac:dyDescent="0.3"/>
    <row r="2739" s="1" customFormat="1" x14ac:dyDescent="0.3"/>
    <row r="2740" s="1" customFormat="1" x14ac:dyDescent="0.3"/>
    <row r="2741" s="1" customFormat="1" x14ac:dyDescent="0.3"/>
    <row r="2742" s="1" customFormat="1" x14ac:dyDescent="0.3"/>
    <row r="2743" s="1" customFormat="1" x14ac:dyDescent="0.3"/>
    <row r="2744" s="1" customFormat="1" x14ac:dyDescent="0.3"/>
    <row r="2745" s="1" customFormat="1" x14ac:dyDescent="0.3"/>
    <row r="2746" s="1" customFormat="1" x14ac:dyDescent="0.3"/>
    <row r="2747" s="1" customFormat="1" x14ac:dyDescent="0.3"/>
    <row r="2748" s="1" customFormat="1" x14ac:dyDescent="0.3"/>
    <row r="2749" s="1" customFormat="1" x14ac:dyDescent="0.3"/>
    <row r="2750" s="1" customFormat="1" x14ac:dyDescent="0.3"/>
    <row r="2751" s="1" customFormat="1" x14ac:dyDescent="0.3"/>
    <row r="2752" s="1" customFormat="1" x14ac:dyDescent="0.3"/>
    <row r="2753" s="1" customFormat="1" x14ac:dyDescent="0.3"/>
    <row r="2754" s="1" customFormat="1" x14ac:dyDescent="0.3"/>
    <row r="2755" s="1" customFormat="1" x14ac:dyDescent="0.3"/>
    <row r="2756" s="1" customFormat="1" x14ac:dyDescent="0.3"/>
    <row r="2757" s="1" customFormat="1" x14ac:dyDescent="0.3"/>
    <row r="2758" s="1" customFormat="1" x14ac:dyDescent="0.3"/>
    <row r="2759" s="1" customFormat="1" x14ac:dyDescent="0.3"/>
    <row r="2760" s="1" customFormat="1" x14ac:dyDescent="0.3"/>
    <row r="2761" s="1" customFormat="1" x14ac:dyDescent="0.3"/>
    <row r="2762" s="1" customFormat="1" x14ac:dyDescent="0.3"/>
    <row r="2763" s="1" customFormat="1" x14ac:dyDescent="0.3"/>
    <row r="2764" s="1" customFormat="1" x14ac:dyDescent="0.3"/>
    <row r="2765" s="1" customFormat="1" x14ac:dyDescent="0.3"/>
    <row r="2766" s="1" customFormat="1" x14ac:dyDescent="0.3"/>
    <row r="2767" s="1" customFormat="1" x14ac:dyDescent="0.3"/>
    <row r="2768" s="1" customFormat="1" x14ac:dyDescent="0.3"/>
    <row r="2769" s="1" customFormat="1" x14ac:dyDescent="0.3"/>
    <row r="2770" s="1" customFormat="1" x14ac:dyDescent="0.3"/>
    <row r="2771" s="1" customFormat="1" x14ac:dyDescent="0.3"/>
    <row r="2772" s="1" customFormat="1" x14ac:dyDescent="0.3"/>
    <row r="2773" s="1" customFormat="1" x14ac:dyDescent="0.3"/>
    <row r="2774" s="1" customFormat="1" x14ac:dyDescent="0.3"/>
    <row r="2775" s="1" customFormat="1" x14ac:dyDescent="0.3"/>
    <row r="2776" s="1" customFormat="1" x14ac:dyDescent="0.3"/>
    <row r="2777" s="1" customFormat="1" x14ac:dyDescent="0.3"/>
    <row r="2778" s="1" customFormat="1" x14ac:dyDescent="0.3"/>
    <row r="2779" s="1" customFormat="1" x14ac:dyDescent="0.3"/>
    <row r="2780" s="1" customFormat="1" x14ac:dyDescent="0.3"/>
    <row r="2781" s="1" customFormat="1" x14ac:dyDescent="0.3"/>
    <row r="2782" s="1" customFormat="1" x14ac:dyDescent="0.3"/>
    <row r="2783" s="1" customFormat="1" x14ac:dyDescent="0.3"/>
    <row r="2784" s="1" customFormat="1" x14ac:dyDescent="0.3"/>
    <row r="2785" s="1" customFormat="1" x14ac:dyDescent="0.3"/>
    <row r="2786" s="1" customFormat="1" x14ac:dyDescent="0.3"/>
    <row r="2787" s="1" customFormat="1" x14ac:dyDescent="0.3"/>
    <row r="2788" s="1" customFormat="1" x14ac:dyDescent="0.3"/>
    <row r="2789" s="1" customFormat="1" x14ac:dyDescent="0.3"/>
    <row r="2790" s="1" customFormat="1" x14ac:dyDescent="0.3"/>
    <row r="2791" s="1" customFormat="1" x14ac:dyDescent="0.3"/>
    <row r="2792" s="1" customFormat="1" x14ac:dyDescent="0.3"/>
    <row r="2793" s="1" customFormat="1" x14ac:dyDescent="0.3"/>
    <row r="2794" s="1" customFormat="1" x14ac:dyDescent="0.3"/>
    <row r="2795" s="1" customFormat="1" x14ac:dyDescent="0.3"/>
    <row r="2796" s="1" customFormat="1" x14ac:dyDescent="0.3"/>
    <row r="2797" s="1" customFormat="1" x14ac:dyDescent="0.3"/>
    <row r="2798" s="1" customFormat="1" x14ac:dyDescent="0.3"/>
    <row r="2799" s="1" customFormat="1" x14ac:dyDescent="0.3"/>
    <row r="2800" s="1" customFormat="1" x14ac:dyDescent="0.3"/>
    <row r="2801" s="1" customFormat="1" x14ac:dyDescent="0.3"/>
    <row r="2802" s="1" customFormat="1" x14ac:dyDescent="0.3"/>
    <row r="2803" s="1" customFormat="1" x14ac:dyDescent="0.3"/>
    <row r="2804" s="1" customFormat="1" x14ac:dyDescent="0.3"/>
    <row r="2805" s="1" customFormat="1" x14ac:dyDescent="0.3"/>
    <row r="2806" s="1" customFormat="1" x14ac:dyDescent="0.3"/>
    <row r="2807" s="1" customFormat="1" x14ac:dyDescent="0.3"/>
    <row r="2808" s="1" customFormat="1" x14ac:dyDescent="0.3"/>
    <row r="2809" s="1" customFormat="1" x14ac:dyDescent="0.3"/>
    <row r="2810" s="1" customFormat="1" x14ac:dyDescent="0.3"/>
    <row r="2811" s="1" customFormat="1" x14ac:dyDescent="0.3"/>
    <row r="2812" s="1" customFormat="1" x14ac:dyDescent="0.3"/>
    <row r="2813" s="1" customFormat="1" x14ac:dyDescent="0.3"/>
    <row r="2814" s="1" customFormat="1" x14ac:dyDescent="0.3"/>
    <row r="2815" s="1" customFormat="1" x14ac:dyDescent="0.3"/>
    <row r="2816" s="1" customFormat="1" x14ac:dyDescent="0.3"/>
    <row r="2817" s="1" customFormat="1" x14ac:dyDescent="0.3"/>
    <row r="2818" s="1" customFormat="1" x14ac:dyDescent="0.3"/>
    <row r="2819" s="1" customFormat="1" x14ac:dyDescent="0.3"/>
    <row r="2820" s="1" customFormat="1" x14ac:dyDescent="0.3"/>
    <row r="2821" s="1" customFormat="1" x14ac:dyDescent="0.3"/>
    <row r="2822" s="1" customFormat="1" x14ac:dyDescent="0.3"/>
    <row r="2823" s="1" customFormat="1" x14ac:dyDescent="0.3"/>
    <row r="2824" s="1" customFormat="1" x14ac:dyDescent="0.3"/>
    <row r="2825" s="1" customFormat="1" x14ac:dyDescent="0.3"/>
    <row r="2826" s="1" customFormat="1" x14ac:dyDescent="0.3"/>
    <row r="2827" s="1" customFormat="1" x14ac:dyDescent="0.3"/>
    <row r="2828" s="1" customFormat="1" x14ac:dyDescent="0.3"/>
    <row r="2829" s="1" customFormat="1" x14ac:dyDescent="0.3"/>
    <row r="2830" s="1" customFormat="1" x14ac:dyDescent="0.3"/>
    <row r="2831" s="1" customFormat="1" x14ac:dyDescent="0.3"/>
    <row r="2832" s="1" customFormat="1" x14ac:dyDescent="0.3"/>
    <row r="2833" s="1" customFormat="1" x14ac:dyDescent="0.3"/>
    <row r="2834" s="1" customFormat="1" x14ac:dyDescent="0.3"/>
    <row r="2835" s="1" customFormat="1" x14ac:dyDescent="0.3"/>
    <row r="2836" s="1" customFormat="1" x14ac:dyDescent="0.3"/>
    <row r="2837" s="1" customFormat="1" x14ac:dyDescent="0.3"/>
    <row r="2838" s="1" customFormat="1" x14ac:dyDescent="0.3"/>
    <row r="2839" s="1" customFormat="1" x14ac:dyDescent="0.3"/>
    <row r="2840" s="1" customFormat="1" x14ac:dyDescent="0.3"/>
    <row r="2841" s="1" customFormat="1" x14ac:dyDescent="0.3"/>
    <row r="2842" s="1" customFormat="1" x14ac:dyDescent="0.3"/>
    <row r="2843" s="1" customFormat="1" x14ac:dyDescent="0.3"/>
    <row r="2844" s="1" customFormat="1" x14ac:dyDescent="0.3"/>
    <row r="2845" s="1" customFormat="1" x14ac:dyDescent="0.3"/>
    <row r="2846" s="1" customFormat="1" x14ac:dyDescent="0.3"/>
    <row r="2847" s="1" customFormat="1" x14ac:dyDescent="0.3"/>
    <row r="2848" s="1" customFormat="1" x14ac:dyDescent="0.3"/>
    <row r="2849" s="1" customFormat="1" x14ac:dyDescent="0.3"/>
    <row r="2850" s="1" customFormat="1" x14ac:dyDescent="0.3"/>
    <row r="2851" s="1" customFormat="1" x14ac:dyDescent="0.3"/>
    <row r="2852" s="1" customFormat="1" x14ac:dyDescent="0.3"/>
    <row r="2853" s="1" customFormat="1" x14ac:dyDescent="0.3"/>
    <row r="2854" s="1" customFormat="1" x14ac:dyDescent="0.3"/>
    <row r="2855" s="1" customFormat="1" x14ac:dyDescent="0.3"/>
    <row r="2856" s="1" customFormat="1" x14ac:dyDescent="0.3"/>
    <row r="2857" s="1" customFormat="1" x14ac:dyDescent="0.3"/>
    <row r="2858" s="1" customFormat="1" x14ac:dyDescent="0.3"/>
    <row r="2859" s="1" customFormat="1" x14ac:dyDescent="0.3"/>
    <row r="2860" s="1" customFormat="1" x14ac:dyDescent="0.3"/>
    <row r="2861" s="1" customFormat="1" x14ac:dyDescent="0.3"/>
    <row r="2862" s="1" customFormat="1" x14ac:dyDescent="0.3"/>
    <row r="2863" s="1" customFormat="1" x14ac:dyDescent="0.3"/>
    <row r="2864" s="1" customFormat="1" x14ac:dyDescent="0.3"/>
    <row r="2865" s="1" customFormat="1" x14ac:dyDescent="0.3"/>
    <row r="2866" s="1" customFormat="1" x14ac:dyDescent="0.3"/>
    <row r="2867" s="1" customFormat="1" x14ac:dyDescent="0.3"/>
    <row r="2868" s="1" customFormat="1" x14ac:dyDescent="0.3"/>
    <row r="2869" s="1" customFormat="1" x14ac:dyDescent="0.3"/>
    <row r="2870" s="1" customFormat="1" x14ac:dyDescent="0.3"/>
    <row r="2871" s="1" customFormat="1" x14ac:dyDescent="0.3"/>
    <row r="2872" s="1" customFormat="1" x14ac:dyDescent="0.3"/>
    <row r="2873" s="1" customFormat="1" x14ac:dyDescent="0.3"/>
    <row r="2874" s="1" customFormat="1" x14ac:dyDescent="0.3"/>
    <row r="2875" s="1" customFormat="1" x14ac:dyDescent="0.3"/>
    <row r="2876" s="1" customFormat="1" x14ac:dyDescent="0.3"/>
    <row r="2877" s="1" customFormat="1" x14ac:dyDescent="0.3"/>
    <row r="2878" s="1" customFormat="1" x14ac:dyDescent="0.3"/>
    <row r="2879" s="1" customFormat="1" x14ac:dyDescent="0.3"/>
    <row r="2880" s="1" customFormat="1" x14ac:dyDescent="0.3"/>
    <row r="2881" s="1" customFormat="1" x14ac:dyDescent="0.3"/>
    <row r="2882" s="1" customFormat="1" x14ac:dyDescent="0.3"/>
    <row r="2883" s="1" customFormat="1" x14ac:dyDescent="0.3"/>
    <row r="2884" s="1" customFormat="1" x14ac:dyDescent="0.3"/>
    <row r="2885" s="1" customFormat="1" x14ac:dyDescent="0.3"/>
    <row r="2886" s="1" customFormat="1" x14ac:dyDescent="0.3"/>
    <row r="2887" s="1" customFormat="1" x14ac:dyDescent="0.3"/>
    <row r="2888" s="1" customFormat="1" x14ac:dyDescent="0.3"/>
    <row r="2889" s="1" customFormat="1" x14ac:dyDescent="0.3"/>
    <row r="2890" s="1" customFormat="1" x14ac:dyDescent="0.3"/>
    <row r="2891" s="1" customFormat="1" x14ac:dyDescent="0.3"/>
    <row r="2892" s="1" customFormat="1" x14ac:dyDescent="0.3"/>
    <row r="2893" s="1" customFormat="1" x14ac:dyDescent="0.3"/>
    <row r="2894" s="1" customFormat="1" x14ac:dyDescent="0.3"/>
    <row r="2895" s="1" customFormat="1" x14ac:dyDescent="0.3"/>
    <row r="2896" s="1" customFormat="1" x14ac:dyDescent="0.3"/>
    <row r="2897" s="1" customFormat="1" x14ac:dyDescent="0.3"/>
    <row r="2898" s="1" customFormat="1" x14ac:dyDescent="0.3"/>
    <row r="2899" s="1" customFormat="1" x14ac:dyDescent="0.3"/>
    <row r="2900" s="1" customFormat="1" x14ac:dyDescent="0.3"/>
    <row r="2901" s="1" customFormat="1" x14ac:dyDescent="0.3"/>
    <row r="2902" s="1" customFormat="1" x14ac:dyDescent="0.3"/>
    <row r="2903" s="1" customFormat="1" x14ac:dyDescent="0.3"/>
    <row r="2904" s="1" customFormat="1" x14ac:dyDescent="0.3"/>
    <row r="2905" s="1" customFormat="1" x14ac:dyDescent="0.3"/>
    <row r="2906" s="1" customFormat="1" x14ac:dyDescent="0.3"/>
    <row r="2907" s="1" customFormat="1" x14ac:dyDescent="0.3"/>
    <row r="2908" s="1" customFormat="1" x14ac:dyDescent="0.3"/>
    <row r="2909" s="1" customFormat="1" x14ac:dyDescent="0.3"/>
    <row r="2910" s="1" customFormat="1" x14ac:dyDescent="0.3"/>
    <row r="2911" s="1" customFormat="1" x14ac:dyDescent="0.3"/>
    <row r="2912" s="1" customFormat="1" x14ac:dyDescent="0.3"/>
    <row r="2913" s="1" customFormat="1" x14ac:dyDescent="0.3"/>
    <row r="2914" s="1" customFormat="1" x14ac:dyDescent="0.3"/>
    <row r="2915" s="1" customFormat="1" x14ac:dyDescent="0.3"/>
    <row r="2916" s="1" customFormat="1" x14ac:dyDescent="0.3"/>
    <row r="2917" s="1" customFormat="1" x14ac:dyDescent="0.3"/>
    <row r="2918" s="1" customFormat="1" x14ac:dyDescent="0.3"/>
    <row r="2919" s="1" customFormat="1" x14ac:dyDescent="0.3"/>
    <row r="2920" s="1" customFormat="1" x14ac:dyDescent="0.3"/>
    <row r="2921" s="1" customFormat="1" x14ac:dyDescent="0.3"/>
    <row r="2922" s="1" customFormat="1" x14ac:dyDescent="0.3"/>
    <row r="2923" s="1" customFormat="1" x14ac:dyDescent="0.3"/>
    <row r="2924" s="1" customFormat="1" x14ac:dyDescent="0.3"/>
    <row r="2925" s="1" customFormat="1" x14ac:dyDescent="0.3"/>
    <row r="2926" s="1" customFormat="1" x14ac:dyDescent="0.3"/>
    <row r="2927" s="1" customFormat="1" x14ac:dyDescent="0.3"/>
    <row r="2928" s="1" customFormat="1" x14ac:dyDescent="0.3"/>
    <row r="2929" s="1" customFormat="1" x14ac:dyDescent="0.3"/>
    <row r="2930" s="1" customFormat="1" x14ac:dyDescent="0.3"/>
    <row r="2931" s="1" customFormat="1" x14ac:dyDescent="0.3"/>
    <row r="2932" s="1" customFormat="1" x14ac:dyDescent="0.3"/>
    <row r="2933" s="1" customFormat="1" x14ac:dyDescent="0.3"/>
    <row r="2934" s="1" customFormat="1" x14ac:dyDescent="0.3"/>
    <row r="2935" s="1" customFormat="1" x14ac:dyDescent="0.3"/>
    <row r="2936" s="1" customFormat="1" x14ac:dyDescent="0.3"/>
    <row r="2937" s="1" customFormat="1" x14ac:dyDescent="0.3"/>
    <row r="2938" s="1" customFormat="1" x14ac:dyDescent="0.3"/>
    <row r="2939" s="1" customFormat="1" x14ac:dyDescent="0.3"/>
    <row r="2940" s="1" customFormat="1" x14ac:dyDescent="0.3"/>
    <row r="2941" s="1" customFormat="1" x14ac:dyDescent="0.3"/>
    <row r="2942" s="1" customFormat="1" x14ac:dyDescent="0.3"/>
    <row r="2943" s="1" customFormat="1" x14ac:dyDescent="0.3"/>
    <row r="2944" s="1" customFormat="1" x14ac:dyDescent="0.3"/>
    <row r="2945" s="1" customFormat="1" x14ac:dyDescent="0.3"/>
    <row r="2946" s="1" customFormat="1" x14ac:dyDescent="0.3"/>
    <row r="2947" s="1" customFormat="1" x14ac:dyDescent="0.3"/>
    <row r="2948" s="1" customFormat="1" x14ac:dyDescent="0.3"/>
    <row r="2949" s="1" customFormat="1" x14ac:dyDescent="0.3"/>
    <row r="2950" s="1" customFormat="1" x14ac:dyDescent="0.3"/>
    <row r="2951" s="1" customFormat="1" x14ac:dyDescent="0.3"/>
    <row r="2952" s="1" customFormat="1" x14ac:dyDescent="0.3"/>
    <row r="2953" s="1" customFormat="1" x14ac:dyDescent="0.3"/>
    <row r="2954" s="1" customFormat="1" x14ac:dyDescent="0.3"/>
    <row r="2955" s="1" customFormat="1" x14ac:dyDescent="0.3"/>
    <row r="2956" s="1" customFormat="1" x14ac:dyDescent="0.3"/>
    <row r="2957" s="1" customFormat="1" x14ac:dyDescent="0.3"/>
    <row r="2958" s="1" customFormat="1" x14ac:dyDescent="0.3"/>
    <row r="2959" s="1" customFormat="1" x14ac:dyDescent="0.3"/>
    <row r="2960" s="1" customFormat="1" x14ac:dyDescent="0.3"/>
    <row r="2961" s="1" customFormat="1" x14ac:dyDescent="0.3"/>
    <row r="2962" s="1" customFormat="1" x14ac:dyDescent="0.3"/>
    <row r="2963" s="1" customFormat="1" x14ac:dyDescent="0.3"/>
    <row r="2964" s="1" customFormat="1" x14ac:dyDescent="0.3"/>
    <row r="2965" s="1" customFormat="1" x14ac:dyDescent="0.3"/>
    <row r="2966" s="1" customFormat="1" x14ac:dyDescent="0.3"/>
    <row r="2967" s="1" customFormat="1" x14ac:dyDescent="0.3"/>
    <row r="2968" s="1" customFormat="1" x14ac:dyDescent="0.3"/>
    <row r="2969" s="1" customFormat="1" x14ac:dyDescent="0.3"/>
    <row r="2970" s="1" customFormat="1" x14ac:dyDescent="0.3"/>
    <row r="2971" s="1" customFormat="1" x14ac:dyDescent="0.3"/>
    <row r="2972" s="1" customFormat="1" x14ac:dyDescent="0.3"/>
    <row r="2973" s="1" customFormat="1" x14ac:dyDescent="0.3"/>
    <row r="2974" s="1" customFormat="1" x14ac:dyDescent="0.3"/>
    <row r="2975" s="1" customFormat="1" x14ac:dyDescent="0.3"/>
    <row r="2976" s="1" customFormat="1" x14ac:dyDescent="0.3"/>
    <row r="2977" s="1" customFormat="1" x14ac:dyDescent="0.3"/>
    <row r="2978" s="1" customFormat="1" x14ac:dyDescent="0.3"/>
    <row r="2979" s="1" customFormat="1" x14ac:dyDescent="0.3"/>
    <row r="2980" s="1" customFormat="1" x14ac:dyDescent="0.3"/>
    <row r="2981" s="1" customFormat="1" x14ac:dyDescent="0.3"/>
    <row r="2982" s="1" customFormat="1" x14ac:dyDescent="0.3"/>
    <row r="2983" s="1" customFormat="1" x14ac:dyDescent="0.3"/>
    <row r="2984" s="1" customFormat="1" x14ac:dyDescent="0.3"/>
    <row r="2985" s="1" customFormat="1" x14ac:dyDescent="0.3"/>
    <row r="2986" s="1" customFormat="1" x14ac:dyDescent="0.3"/>
    <row r="2987" s="1" customFormat="1" x14ac:dyDescent="0.3"/>
    <row r="2988" s="1" customFormat="1" x14ac:dyDescent="0.3"/>
    <row r="2989" s="1" customFormat="1" x14ac:dyDescent="0.3"/>
    <row r="2990" s="1" customFormat="1" x14ac:dyDescent="0.3"/>
    <row r="2991" s="1" customFormat="1" x14ac:dyDescent="0.3"/>
    <row r="2992" s="1" customFormat="1" x14ac:dyDescent="0.3"/>
    <row r="2993" s="1" customFormat="1" x14ac:dyDescent="0.3"/>
    <row r="2994" s="1" customFormat="1" x14ac:dyDescent="0.3"/>
    <row r="2995" s="1" customFormat="1" x14ac:dyDescent="0.3"/>
    <row r="2996" s="1" customFormat="1" x14ac:dyDescent="0.3"/>
    <row r="2997" s="1" customFormat="1" x14ac:dyDescent="0.3"/>
    <row r="2998" s="1" customFormat="1" x14ac:dyDescent="0.3"/>
    <row r="2999" s="1" customFormat="1" x14ac:dyDescent="0.3"/>
    <row r="3000" s="1" customFormat="1" x14ac:dyDescent="0.3"/>
    <row r="3001" s="1" customFormat="1" x14ac:dyDescent="0.3"/>
    <row r="3002" s="1" customFormat="1" x14ac:dyDescent="0.3"/>
    <row r="3003" s="1" customFormat="1" x14ac:dyDescent="0.3"/>
    <row r="3004" s="1" customFormat="1" x14ac:dyDescent="0.3"/>
    <row r="3005" s="1" customFormat="1" x14ac:dyDescent="0.3"/>
    <row r="3006" s="1" customFormat="1" x14ac:dyDescent="0.3"/>
    <row r="3007" s="1" customFormat="1" x14ac:dyDescent="0.3"/>
    <row r="3008" s="1" customFormat="1" x14ac:dyDescent="0.3"/>
    <row r="3009" s="1" customFormat="1" x14ac:dyDescent="0.3"/>
    <row r="3010" s="1" customFormat="1" x14ac:dyDescent="0.3"/>
    <row r="3011" s="1" customFormat="1" x14ac:dyDescent="0.3"/>
    <row r="3012" s="1" customFormat="1" x14ac:dyDescent="0.3"/>
    <row r="3013" s="1" customFormat="1" x14ac:dyDescent="0.3"/>
    <row r="3014" s="1" customFormat="1" x14ac:dyDescent="0.3"/>
    <row r="3015" s="1" customFormat="1" x14ac:dyDescent="0.3"/>
    <row r="3016" s="1" customFormat="1" x14ac:dyDescent="0.3"/>
    <row r="3017" s="1" customFormat="1" x14ac:dyDescent="0.3"/>
    <row r="3018" s="1" customFormat="1" x14ac:dyDescent="0.3"/>
    <row r="3019" s="1" customFormat="1" x14ac:dyDescent="0.3"/>
    <row r="3020" s="1" customFormat="1" x14ac:dyDescent="0.3"/>
    <row r="3021" s="1" customFormat="1" x14ac:dyDescent="0.3"/>
    <row r="3022" s="1" customFormat="1" x14ac:dyDescent="0.3"/>
    <row r="3023" s="1" customFormat="1" x14ac:dyDescent="0.3"/>
    <row r="3024" s="1" customFormat="1" x14ac:dyDescent="0.3"/>
    <row r="3025" s="1" customFormat="1" x14ac:dyDescent="0.3"/>
    <row r="3026" s="1" customFormat="1" x14ac:dyDescent="0.3"/>
    <row r="3027" s="1" customFormat="1" x14ac:dyDescent="0.3"/>
    <row r="3028" s="1" customFormat="1" x14ac:dyDescent="0.3"/>
    <row r="3029" s="1" customFormat="1" x14ac:dyDescent="0.3"/>
    <row r="3030" s="1" customFormat="1" x14ac:dyDescent="0.3"/>
    <row r="3031" s="1" customFormat="1" x14ac:dyDescent="0.3"/>
    <row r="3032" s="1" customFormat="1" x14ac:dyDescent="0.3"/>
    <row r="3033" s="1" customFormat="1" x14ac:dyDescent="0.3"/>
    <row r="3034" s="1" customFormat="1" x14ac:dyDescent="0.3"/>
    <row r="3035" s="1" customFormat="1" x14ac:dyDescent="0.3"/>
    <row r="3036" s="1" customFormat="1" x14ac:dyDescent="0.3"/>
    <row r="3037" s="1" customFormat="1" x14ac:dyDescent="0.3"/>
    <row r="3038" s="1" customFormat="1" x14ac:dyDescent="0.3"/>
    <row r="3039" s="1" customFormat="1" x14ac:dyDescent="0.3"/>
    <row r="3040" s="1" customFormat="1" x14ac:dyDescent="0.3"/>
    <row r="3041" s="1" customFormat="1" x14ac:dyDescent="0.3"/>
    <row r="3042" s="1" customFormat="1" x14ac:dyDescent="0.3"/>
    <row r="3043" s="1" customFormat="1" x14ac:dyDescent="0.3"/>
    <row r="3044" s="1" customFormat="1" x14ac:dyDescent="0.3"/>
    <row r="3045" s="1" customFormat="1" x14ac:dyDescent="0.3"/>
    <row r="3046" s="1" customFormat="1" x14ac:dyDescent="0.3"/>
    <row r="3047" s="1" customFormat="1" x14ac:dyDescent="0.3"/>
    <row r="3048" s="1" customFormat="1" x14ac:dyDescent="0.3"/>
    <row r="3049" s="1" customFormat="1" x14ac:dyDescent="0.3"/>
    <row r="3050" s="1" customFormat="1" x14ac:dyDescent="0.3"/>
    <row r="3051" s="1" customFormat="1" x14ac:dyDescent="0.3"/>
    <row r="3052" s="1" customFormat="1" x14ac:dyDescent="0.3"/>
    <row r="3053" s="1" customFormat="1" x14ac:dyDescent="0.3"/>
    <row r="3054" s="1" customFormat="1" x14ac:dyDescent="0.3"/>
    <row r="3055" s="1" customFormat="1" x14ac:dyDescent="0.3"/>
    <row r="3056" s="1" customFormat="1" x14ac:dyDescent="0.3"/>
    <row r="3057" s="1" customFormat="1" x14ac:dyDescent="0.3"/>
    <row r="3058" s="1" customFormat="1" x14ac:dyDescent="0.3"/>
    <row r="3059" s="1" customFormat="1" x14ac:dyDescent="0.3"/>
    <row r="3060" s="1" customFormat="1" x14ac:dyDescent="0.3"/>
    <row r="3061" s="1" customFormat="1" x14ac:dyDescent="0.3"/>
    <row r="3062" s="1" customFormat="1" x14ac:dyDescent="0.3"/>
    <row r="3063" s="1" customFormat="1" x14ac:dyDescent="0.3"/>
    <row r="3064" s="1" customFormat="1" x14ac:dyDescent="0.3"/>
    <row r="3065" s="1" customFormat="1" x14ac:dyDescent="0.3"/>
    <row r="3066" s="1" customFormat="1" x14ac:dyDescent="0.3"/>
    <row r="3067" s="1" customFormat="1" x14ac:dyDescent="0.3"/>
    <row r="3068" s="1" customFormat="1" x14ac:dyDescent="0.3"/>
    <row r="3069" s="1" customFormat="1" x14ac:dyDescent="0.3"/>
    <row r="3070" s="1" customFormat="1" x14ac:dyDescent="0.3"/>
    <row r="3071" s="1" customFormat="1" x14ac:dyDescent="0.3"/>
    <row r="3072" s="1" customFormat="1" x14ac:dyDescent="0.3"/>
    <row r="3073" s="1" customFormat="1" x14ac:dyDescent="0.3"/>
    <row r="3074" s="1" customFormat="1" x14ac:dyDescent="0.3"/>
    <row r="3075" s="1" customFormat="1" x14ac:dyDescent="0.3"/>
    <row r="3076" s="1" customFormat="1" x14ac:dyDescent="0.3"/>
    <row r="3077" s="1" customFormat="1" x14ac:dyDescent="0.3"/>
    <row r="3078" s="1" customFormat="1" x14ac:dyDescent="0.3"/>
    <row r="3079" s="1" customFormat="1" x14ac:dyDescent="0.3"/>
    <row r="3080" s="1" customFormat="1" x14ac:dyDescent="0.3"/>
    <row r="3081" s="1" customFormat="1" x14ac:dyDescent="0.3"/>
    <row r="3082" s="1" customFormat="1" x14ac:dyDescent="0.3"/>
    <row r="3083" s="1" customFormat="1" x14ac:dyDescent="0.3"/>
    <row r="3084" s="1" customFormat="1" x14ac:dyDescent="0.3"/>
    <row r="3085" s="1" customFormat="1" x14ac:dyDescent="0.3"/>
    <row r="3086" s="1" customFormat="1" x14ac:dyDescent="0.3"/>
    <row r="3087" s="1" customFormat="1" x14ac:dyDescent="0.3"/>
    <row r="3088" s="1" customFormat="1" x14ac:dyDescent="0.3"/>
    <row r="3089" s="1" customFormat="1" x14ac:dyDescent="0.3"/>
    <row r="3090" s="1" customFormat="1" x14ac:dyDescent="0.3"/>
    <row r="3091" s="1" customFormat="1" x14ac:dyDescent="0.3"/>
    <row r="3092" s="1" customFormat="1" x14ac:dyDescent="0.3"/>
    <row r="3093" s="1" customFormat="1" x14ac:dyDescent="0.3"/>
    <row r="3094" s="1" customFormat="1" x14ac:dyDescent="0.3"/>
    <row r="3095" s="1" customFormat="1" x14ac:dyDescent="0.3"/>
    <row r="3096" s="1" customFormat="1" x14ac:dyDescent="0.3"/>
    <row r="3097" s="1" customFormat="1" x14ac:dyDescent="0.3"/>
    <row r="3098" s="1" customFormat="1" x14ac:dyDescent="0.3"/>
    <row r="3099" s="1" customFormat="1" x14ac:dyDescent="0.3"/>
    <row r="3100" s="1" customFormat="1" x14ac:dyDescent="0.3"/>
    <row r="3101" s="1" customFormat="1" x14ac:dyDescent="0.3"/>
    <row r="3102" s="1" customFormat="1" x14ac:dyDescent="0.3"/>
    <row r="3103" s="1" customFormat="1" x14ac:dyDescent="0.3"/>
    <row r="3104" s="1" customFormat="1" x14ac:dyDescent="0.3"/>
    <row r="3105" s="1" customFormat="1" x14ac:dyDescent="0.3"/>
    <row r="3106" s="1" customFormat="1" x14ac:dyDescent="0.3"/>
    <row r="3107" s="1" customFormat="1" x14ac:dyDescent="0.3"/>
    <row r="3108" s="1" customFormat="1" x14ac:dyDescent="0.3"/>
    <row r="3109" s="1" customFormat="1" x14ac:dyDescent="0.3"/>
    <row r="3110" s="1" customFormat="1" x14ac:dyDescent="0.3"/>
    <row r="3111" s="1" customFormat="1" x14ac:dyDescent="0.3"/>
    <row r="3112" s="1" customFormat="1" x14ac:dyDescent="0.3"/>
    <row r="3113" s="1" customFormat="1" x14ac:dyDescent="0.3"/>
    <row r="3114" s="1" customFormat="1" x14ac:dyDescent="0.3"/>
    <row r="3115" s="1" customFormat="1" x14ac:dyDescent="0.3"/>
    <row r="3116" s="1" customFormat="1" x14ac:dyDescent="0.3"/>
    <row r="3117" s="1" customFormat="1" x14ac:dyDescent="0.3"/>
    <row r="3118" s="1" customFormat="1" x14ac:dyDescent="0.3"/>
    <row r="3119" s="1" customFormat="1" x14ac:dyDescent="0.3"/>
    <row r="3120" s="1" customFormat="1" x14ac:dyDescent="0.3"/>
    <row r="3121" s="1" customFormat="1" x14ac:dyDescent="0.3"/>
    <row r="3122" s="1" customFormat="1" x14ac:dyDescent="0.3"/>
    <row r="3123" s="1" customFormat="1" x14ac:dyDescent="0.3"/>
    <row r="3124" s="1" customFormat="1" x14ac:dyDescent="0.3"/>
    <row r="3125" s="1" customFormat="1" x14ac:dyDescent="0.3"/>
    <row r="3126" s="1" customFormat="1" x14ac:dyDescent="0.3"/>
    <row r="3127" s="1" customFormat="1" x14ac:dyDescent="0.3"/>
    <row r="3128" s="1" customFormat="1" x14ac:dyDescent="0.3"/>
    <row r="3129" s="1" customFormat="1" x14ac:dyDescent="0.3"/>
    <row r="3130" s="1" customFormat="1" x14ac:dyDescent="0.3"/>
    <row r="3131" s="1" customFormat="1" x14ac:dyDescent="0.3"/>
    <row r="3132" s="1" customFormat="1" x14ac:dyDescent="0.3"/>
    <row r="3133" s="1" customFormat="1" x14ac:dyDescent="0.3"/>
    <row r="3134" s="1" customFormat="1" x14ac:dyDescent="0.3"/>
    <row r="3135" s="1" customFormat="1" x14ac:dyDescent="0.3"/>
    <row r="3136" s="1" customFormat="1" x14ac:dyDescent="0.3"/>
    <row r="3137" s="1" customFormat="1" x14ac:dyDescent="0.3"/>
    <row r="3138" s="1" customFormat="1" x14ac:dyDescent="0.3"/>
    <row r="3139" s="1" customFormat="1" x14ac:dyDescent="0.3"/>
    <row r="3140" s="1" customFormat="1" x14ac:dyDescent="0.3"/>
    <row r="3141" s="1" customFormat="1" x14ac:dyDescent="0.3"/>
    <row r="3142" s="1" customFormat="1" x14ac:dyDescent="0.3"/>
    <row r="3143" s="1" customFormat="1" x14ac:dyDescent="0.3"/>
    <row r="3144" s="1" customFormat="1" x14ac:dyDescent="0.3"/>
    <row r="3145" s="1" customFormat="1" x14ac:dyDescent="0.3"/>
    <row r="3146" s="1" customFormat="1" x14ac:dyDescent="0.3"/>
    <row r="3147" s="1" customFormat="1" x14ac:dyDescent="0.3"/>
    <row r="3148" s="1" customFormat="1" x14ac:dyDescent="0.3"/>
    <row r="3149" s="1" customFormat="1" x14ac:dyDescent="0.3"/>
    <row r="3150" s="1" customFormat="1" x14ac:dyDescent="0.3"/>
    <row r="3151" s="1" customFormat="1" x14ac:dyDescent="0.3"/>
    <row r="3152" s="1" customFormat="1" x14ac:dyDescent="0.3"/>
    <row r="3153" s="1" customFormat="1" x14ac:dyDescent="0.3"/>
    <row r="3154" s="1" customFormat="1" x14ac:dyDescent="0.3"/>
    <row r="3155" s="1" customFormat="1" x14ac:dyDescent="0.3"/>
    <row r="3156" s="1" customFormat="1" x14ac:dyDescent="0.3"/>
    <row r="3157" s="1" customFormat="1" x14ac:dyDescent="0.3"/>
    <row r="3158" s="1" customFormat="1" x14ac:dyDescent="0.3"/>
    <row r="3159" s="1" customFormat="1" x14ac:dyDescent="0.3"/>
    <row r="3160" s="1" customFormat="1" x14ac:dyDescent="0.3"/>
    <row r="3161" s="1" customFormat="1" x14ac:dyDescent="0.3"/>
    <row r="3162" s="1" customFormat="1" x14ac:dyDescent="0.3"/>
    <row r="3163" s="1" customFormat="1" x14ac:dyDescent="0.3"/>
    <row r="3164" s="1" customFormat="1" x14ac:dyDescent="0.3"/>
    <row r="3165" s="1" customFormat="1" x14ac:dyDescent="0.3"/>
    <row r="3166" s="1" customFormat="1" x14ac:dyDescent="0.3"/>
    <row r="3167" s="1" customFormat="1" x14ac:dyDescent="0.3"/>
    <row r="3168" s="1" customFormat="1" x14ac:dyDescent="0.3"/>
    <row r="3169" s="1" customFormat="1" x14ac:dyDescent="0.3"/>
    <row r="3170" s="1" customFormat="1" x14ac:dyDescent="0.3"/>
    <row r="3171" s="1" customFormat="1" x14ac:dyDescent="0.3"/>
    <row r="3172" s="1" customFormat="1" x14ac:dyDescent="0.3"/>
    <row r="3173" s="1" customFormat="1" x14ac:dyDescent="0.3"/>
    <row r="3174" s="1" customFormat="1" x14ac:dyDescent="0.3"/>
    <row r="3175" s="1" customFormat="1" x14ac:dyDescent="0.3"/>
    <row r="3176" s="1" customFormat="1" x14ac:dyDescent="0.3"/>
    <row r="3177" s="1" customFormat="1" x14ac:dyDescent="0.3"/>
    <row r="3178" s="1" customFormat="1" x14ac:dyDescent="0.3"/>
    <row r="3179" s="1" customFormat="1" x14ac:dyDescent="0.3"/>
    <row r="3180" s="1" customFormat="1" x14ac:dyDescent="0.3"/>
    <row r="3181" s="1" customFormat="1" x14ac:dyDescent="0.3"/>
    <row r="3182" s="1" customFormat="1" x14ac:dyDescent="0.3"/>
    <row r="3183" s="1" customFormat="1" x14ac:dyDescent="0.3"/>
    <row r="3184" s="1" customFormat="1" x14ac:dyDescent="0.3"/>
    <row r="3185" s="1" customFormat="1" x14ac:dyDescent="0.3"/>
    <row r="3186" s="1" customFormat="1" x14ac:dyDescent="0.3"/>
    <row r="3187" s="1" customFormat="1" x14ac:dyDescent="0.3"/>
    <row r="3188" s="1" customFormat="1" x14ac:dyDescent="0.3"/>
    <row r="3189" s="1" customFormat="1" x14ac:dyDescent="0.3"/>
    <row r="3190" s="1" customFormat="1" x14ac:dyDescent="0.3"/>
    <row r="3191" s="1" customFormat="1" x14ac:dyDescent="0.3"/>
    <row r="3192" s="1" customFormat="1" x14ac:dyDescent="0.3"/>
    <row r="3193" s="1" customFormat="1" x14ac:dyDescent="0.3"/>
    <row r="3194" s="1" customFormat="1" x14ac:dyDescent="0.3"/>
    <row r="3195" s="1" customFormat="1" x14ac:dyDescent="0.3"/>
    <row r="3196" s="1" customFormat="1" x14ac:dyDescent="0.3"/>
    <row r="3197" s="1" customFormat="1" x14ac:dyDescent="0.3"/>
    <row r="3198" s="1" customFormat="1" x14ac:dyDescent="0.3"/>
    <row r="3199" s="1" customFormat="1" x14ac:dyDescent="0.3"/>
    <row r="3200" s="1" customFormat="1" x14ac:dyDescent="0.3"/>
    <row r="3201" s="1" customFormat="1" x14ac:dyDescent="0.3"/>
    <row r="3202" s="1" customFormat="1" x14ac:dyDescent="0.3"/>
    <row r="3203" s="1" customFormat="1" x14ac:dyDescent="0.3"/>
    <row r="3204" s="1" customFormat="1" x14ac:dyDescent="0.3"/>
    <row r="3205" s="1" customFormat="1" x14ac:dyDescent="0.3"/>
    <row r="3206" s="1" customFormat="1" x14ac:dyDescent="0.3"/>
    <row r="3207" s="1" customFormat="1" x14ac:dyDescent="0.3"/>
    <row r="3208" s="1" customFormat="1" x14ac:dyDescent="0.3"/>
    <row r="3209" s="1" customFormat="1" x14ac:dyDescent="0.3"/>
    <row r="3210" s="1" customFormat="1" x14ac:dyDescent="0.3"/>
    <row r="3211" s="1" customFormat="1" x14ac:dyDescent="0.3"/>
    <row r="3212" s="1" customFormat="1" x14ac:dyDescent="0.3"/>
    <row r="3213" s="1" customFormat="1" x14ac:dyDescent="0.3"/>
    <row r="3214" s="1" customFormat="1" x14ac:dyDescent="0.3"/>
    <row r="3215" s="1" customFormat="1" x14ac:dyDescent="0.3"/>
    <row r="3216" s="1" customFormat="1" x14ac:dyDescent="0.3"/>
    <row r="3217" s="1" customFormat="1" x14ac:dyDescent="0.3"/>
    <row r="3218" s="1" customFormat="1" x14ac:dyDescent="0.3"/>
    <row r="3219" s="1" customFormat="1" x14ac:dyDescent="0.3"/>
    <row r="3220" s="1" customFormat="1" x14ac:dyDescent="0.3"/>
    <row r="3221" s="1" customFormat="1" x14ac:dyDescent="0.3"/>
    <row r="3222" s="1" customFormat="1" x14ac:dyDescent="0.3"/>
    <row r="3223" s="1" customFormat="1" x14ac:dyDescent="0.3"/>
    <row r="3224" s="1" customFormat="1" x14ac:dyDescent="0.3"/>
    <row r="3225" s="1" customFormat="1" x14ac:dyDescent="0.3"/>
    <row r="3226" s="1" customFormat="1" x14ac:dyDescent="0.3"/>
    <row r="3227" s="1" customFormat="1" x14ac:dyDescent="0.3"/>
    <row r="3228" s="1" customFormat="1" x14ac:dyDescent="0.3"/>
    <row r="3229" s="1" customFormat="1" x14ac:dyDescent="0.3"/>
    <row r="3230" s="1" customFormat="1" x14ac:dyDescent="0.3"/>
    <row r="3231" s="1" customFormat="1" x14ac:dyDescent="0.3"/>
    <row r="3232" s="1" customFormat="1" x14ac:dyDescent="0.3"/>
    <row r="3233" s="1" customFormat="1" x14ac:dyDescent="0.3"/>
    <row r="3234" s="1" customFormat="1" x14ac:dyDescent="0.3"/>
    <row r="3235" s="1" customFormat="1" x14ac:dyDescent="0.3"/>
    <row r="3236" s="1" customFormat="1" x14ac:dyDescent="0.3"/>
    <row r="3237" s="1" customFormat="1" x14ac:dyDescent="0.3"/>
    <row r="3238" s="1" customFormat="1" x14ac:dyDescent="0.3"/>
    <row r="3239" s="1" customFormat="1" x14ac:dyDescent="0.3"/>
    <row r="3240" s="1" customFormat="1" x14ac:dyDescent="0.3"/>
    <row r="3241" s="1" customFormat="1" x14ac:dyDescent="0.3"/>
    <row r="3242" s="1" customFormat="1" x14ac:dyDescent="0.3"/>
    <row r="3243" s="1" customFormat="1" x14ac:dyDescent="0.3"/>
    <row r="3244" s="1" customFormat="1" x14ac:dyDescent="0.3"/>
    <row r="3245" s="1" customFormat="1" x14ac:dyDescent="0.3"/>
    <row r="3246" s="1" customFormat="1" x14ac:dyDescent="0.3"/>
    <row r="3247" s="1" customFormat="1" x14ac:dyDescent="0.3"/>
    <row r="3248" s="1" customFormat="1" x14ac:dyDescent="0.3"/>
    <row r="3249" s="1" customFormat="1" x14ac:dyDescent="0.3"/>
    <row r="3250" s="1" customFormat="1" x14ac:dyDescent="0.3"/>
    <row r="3251" s="1" customFormat="1" x14ac:dyDescent="0.3"/>
    <row r="3252" s="1" customFormat="1" x14ac:dyDescent="0.3"/>
    <row r="3253" s="1" customFormat="1" x14ac:dyDescent="0.3"/>
    <row r="3254" s="1" customFormat="1" x14ac:dyDescent="0.3"/>
    <row r="3255" s="1" customFormat="1" x14ac:dyDescent="0.3"/>
    <row r="3256" s="1" customFormat="1" x14ac:dyDescent="0.3"/>
    <row r="3257" s="1" customFormat="1" x14ac:dyDescent="0.3"/>
    <row r="3258" s="1" customFormat="1" x14ac:dyDescent="0.3"/>
    <row r="3259" s="1" customFormat="1" x14ac:dyDescent="0.3"/>
    <row r="3260" s="1" customFormat="1" x14ac:dyDescent="0.3"/>
    <row r="3261" s="1" customFormat="1" x14ac:dyDescent="0.3"/>
    <row r="3262" s="1" customFormat="1" x14ac:dyDescent="0.3"/>
    <row r="3263" s="1" customFormat="1" x14ac:dyDescent="0.3"/>
    <row r="3264" s="1" customFormat="1" x14ac:dyDescent="0.3"/>
    <row r="3265" s="1" customFormat="1" x14ac:dyDescent="0.3"/>
    <row r="3266" s="1" customFormat="1" x14ac:dyDescent="0.3"/>
    <row r="3267" s="1" customFormat="1" x14ac:dyDescent="0.3"/>
    <row r="3268" s="1" customFormat="1" x14ac:dyDescent="0.3"/>
    <row r="3269" s="1" customFormat="1" x14ac:dyDescent="0.3"/>
    <row r="3270" s="1" customFormat="1" x14ac:dyDescent="0.3"/>
    <row r="3271" s="1" customFormat="1" x14ac:dyDescent="0.3"/>
    <row r="3272" s="1" customFormat="1" x14ac:dyDescent="0.3"/>
    <row r="3273" s="1" customFormat="1" x14ac:dyDescent="0.3"/>
    <row r="3274" s="1" customFormat="1" x14ac:dyDescent="0.3"/>
    <row r="3275" s="1" customFormat="1" x14ac:dyDescent="0.3"/>
    <row r="3276" s="1" customFormat="1" x14ac:dyDescent="0.3"/>
    <row r="3277" s="1" customFormat="1" x14ac:dyDescent="0.3"/>
    <row r="3278" s="1" customFormat="1" x14ac:dyDescent="0.3"/>
    <row r="3279" s="1" customFormat="1" x14ac:dyDescent="0.3"/>
    <row r="3280" s="1" customFormat="1" x14ac:dyDescent="0.3"/>
    <row r="3281" s="1" customFormat="1" x14ac:dyDescent="0.3"/>
    <row r="3282" s="1" customFormat="1" x14ac:dyDescent="0.3"/>
    <row r="3283" s="1" customFormat="1" x14ac:dyDescent="0.3"/>
    <row r="3284" s="1" customFormat="1" x14ac:dyDescent="0.3"/>
    <row r="3285" s="1" customFormat="1" x14ac:dyDescent="0.3"/>
    <row r="3286" s="1" customFormat="1" x14ac:dyDescent="0.3"/>
    <row r="3287" s="1" customFormat="1" x14ac:dyDescent="0.3"/>
    <row r="3288" s="1" customFormat="1" x14ac:dyDescent="0.3"/>
    <row r="3289" s="1" customFormat="1" x14ac:dyDescent="0.3"/>
    <row r="3290" s="1" customFormat="1" x14ac:dyDescent="0.3"/>
    <row r="3291" s="1" customFormat="1" x14ac:dyDescent="0.3"/>
    <row r="3292" s="1" customFormat="1" x14ac:dyDescent="0.3"/>
    <row r="3293" s="1" customFormat="1" x14ac:dyDescent="0.3"/>
    <row r="3294" s="1" customFormat="1" x14ac:dyDescent="0.3"/>
    <row r="3295" s="1" customFormat="1" x14ac:dyDescent="0.3"/>
    <row r="3296" s="1" customFormat="1" x14ac:dyDescent="0.3"/>
    <row r="3297" s="1" customFormat="1" x14ac:dyDescent="0.3"/>
    <row r="3298" s="1" customFormat="1" x14ac:dyDescent="0.3"/>
    <row r="3299" s="1" customFormat="1" x14ac:dyDescent="0.3"/>
    <row r="3300" s="1" customFormat="1" x14ac:dyDescent="0.3"/>
    <row r="3301" s="1" customFormat="1" x14ac:dyDescent="0.3"/>
    <row r="3302" s="1" customFormat="1" x14ac:dyDescent="0.3"/>
    <row r="3303" s="1" customFormat="1" x14ac:dyDescent="0.3"/>
    <row r="3304" s="1" customFormat="1" x14ac:dyDescent="0.3"/>
    <row r="3305" s="1" customFormat="1" x14ac:dyDescent="0.3"/>
    <row r="3306" s="1" customFormat="1" x14ac:dyDescent="0.3"/>
    <row r="3307" s="1" customFormat="1" x14ac:dyDescent="0.3"/>
    <row r="3308" s="1" customFormat="1" x14ac:dyDescent="0.3"/>
    <row r="3309" s="1" customFormat="1" x14ac:dyDescent="0.3"/>
    <row r="3310" s="1" customFormat="1" x14ac:dyDescent="0.3"/>
    <row r="3311" s="1" customFormat="1" x14ac:dyDescent="0.3"/>
    <row r="3312" s="1" customFormat="1" x14ac:dyDescent="0.3"/>
    <row r="3313" s="1" customFormat="1" x14ac:dyDescent="0.3"/>
    <row r="3314" s="1" customFormat="1" x14ac:dyDescent="0.3"/>
    <row r="3315" s="1" customFormat="1" x14ac:dyDescent="0.3"/>
    <row r="3316" s="1" customFormat="1" x14ac:dyDescent="0.3"/>
    <row r="3317" s="1" customFormat="1" x14ac:dyDescent="0.3"/>
    <row r="3318" s="1" customFormat="1" x14ac:dyDescent="0.3"/>
    <row r="3319" s="1" customFormat="1" x14ac:dyDescent="0.3"/>
    <row r="3320" s="1" customFormat="1" x14ac:dyDescent="0.3"/>
    <row r="3321" s="1" customFormat="1" x14ac:dyDescent="0.3"/>
    <row r="3322" s="1" customFormat="1" x14ac:dyDescent="0.3"/>
    <row r="3323" s="1" customFormat="1" x14ac:dyDescent="0.3"/>
    <row r="3324" s="1" customFormat="1" x14ac:dyDescent="0.3"/>
    <row r="3325" s="1" customFormat="1" x14ac:dyDescent="0.3"/>
    <row r="3326" s="1" customFormat="1" x14ac:dyDescent="0.3"/>
    <row r="3327" s="1" customFormat="1" x14ac:dyDescent="0.3"/>
    <row r="3328" s="1" customFormat="1" x14ac:dyDescent="0.3"/>
    <row r="3329" s="1" customFormat="1" x14ac:dyDescent="0.3"/>
    <row r="3330" s="1" customFormat="1" x14ac:dyDescent="0.3"/>
    <row r="3331" s="1" customFormat="1" x14ac:dyDescent="0.3"/>
    <row r="3332" s="1" customFormat="1" x14ac:dyDescent="0.3"/>
    <row r="3333" s="1" customFormat="1" x14ac:dyDescent="0.3"/>
    <row r="3334" s="1" customFormat="1" x14ac:dyDescent="0.3"/>
    <row r="3335" s="1" customFormat="1" x14ac:dyDescent="0.3"/>
    <row r="3336" s="1" customFormat="1" x14ac:dyDescent="0.3"/>
    <row r="3337" s="1" customFormat="1" x14ac:dyDescent="0.3"/>
    <row r="3338" s="1" customFormat="1" x14ac:dyDescent="0.3"/>
    <row r="3339" s="1" customFormat="1" x14ac:dyDescent="0.3"/>
    <row r="3340" s="1" customFormat="1" x14ac:dyDescent="0.3"/>
    <row r="3341" s="1" customFormat="1" x14ac:dyDescent="0.3"/>
    <row r="3342" s="1" customFormat="1" x14ac:dyDescent="0.3"/>
    <row r="3343" s="1" customFormat="1" x14ac:dyDescent="0.3"/>
    <row r="3344" s="1" customFormat="1" x14ac:dyDescent="0.3"/>
    <row r="3345" s="1" customFormat="1" x14ac:dyDescent="0.3"/>
    <row r="3346" s="1" customFormat="1" x14ac:dyDescent="0.3"/>
    <row r="3347" s="1" customFormat="1" x14ac:dyDescent="0.3"/>
    <row r="3348" s="1" customFormat="1" x14ac:dyDescent="0.3"/>
    <row r="3349" s="1" customFormat="1" x14ac:dyDescent="0.3"/>
    <row r="3350" s="1" customFormat="1" x14ac:dyDescent="0.3"/>
    <row r="3351" s="1" customFormat="1" x14ac:dyDescent="0.3"/>
    <row r="3352" s="1" customFormat="1" x14ac:dyDescent="0.3"/>
    <row r="3353" s="1" customFormat="1" x14ac:dyDescent="0.3"/>
    <row r="3354" s="1" customFormat="1" x14ac:dyDescent="0.3"/>
    <row r="3355" s="1" customFormat="1" x14ac:dyDescent="0.3"/>
    <row r="3356" s="1" customFormat="1" x14ac:dyDescent="0.3"/>
    <row r="3357" s="1" customFormat="1" x14ac:dyDescent="0.3"/>
    <row r="3358" s="1" customFormat="1" x14ac:dyDescent="0.3"/>
    <row r="3359" s="1" customFormat="1" x14ac:dyDescent="0.3"/>
    <row r="3360" s="1" customFormat="1" x14ac:dyDescent="0.3"/>
    <row r="3361" s="1" customFormat="1" x14ac:dyDescent="0.3"/>
    <row r="3362" s="1" customFormat="1" x14ac:dyDescent="0.3"/>
    <row r="3363" s="1" customFormat="1" x14ac:dyDescent="0.3"/>
    <row r="3364" s="1" customFormat="1" x14ac:dyDescent="0.3"/>
    <row r="3365" s="1" customFormat="1" x14ac:dyDescent="0.3"/>
    <row r="3366" s="1" customFormat="1" x14ac:dyDescent="0.3"/>
    <row r="3367" s="1" customFormat="1" x14ac:dyDescent="0.3"/>
    <row r="3368" s="1" customFormat="1" x14ac:dyDescent="0.3"/>
    <row r="3369" s="1" customFormat="1" x14ac:dyDescent="0.3"/>
    <row r="3370" s="1" customFormat="1" x14ac:dyDescent="0.3"/>
    <row r="3371" s="1" customFormat="1" x14ac:dyDescent="0.3"/>
    <row r="3372" s="1" customFormat="1" x14ac:dyDescent="0.3"/>
    <row r="3373" s="1" customFormat="1" x14ac:dyDescent="0.3"/>
    <row r="3374" s="1" customFormat="1" x14ac:dyDescent="0.3"/>
    <row r="3375" s="1" customFormat="1" x14ac:dyDescent="0.3"/>
    <row r="3376" s="1" customFormat="1" x14ac:dyDescent="0.3"/>
    <row r="3377" s="1" customFormat="1" x14ac:dyDescent="0.3"/>
    <row r="3378" s="1" customFormat="1" x14ac:dyDescent="0.3"/>
    <row r="3379" s="1" customFormat="1" x14ac:dyDescent="0.3"/>
    <row r="3380" s="1" customFormat="1" x14ac:dyDescent="0.3"/>
    <row r="3381" s="1" customFormat="1" x14ac:dyDescent="0.3"/>
    <row r="3382" s="1" customFormat="1" x14ac:dyDescent="0.3"/>
    <row r="3383" s="1" customFormat="1" x14ac:dyDescent="0.3"/>
    <row r="3384" s="1" customFormat="1" x14ac:dyDescent="0.3"/>
    <row r="3385" s="1" customFormat="1" x14ac:dyDescent="0.3"/>
    <row r="3386" s="1" customFormat="1" x14ac:dyDescent="0.3"/>
    <row r="3387" s="1" customFormat="1" x14ac:dyDescent="0.3"/>
    <row r="3388" s="1" customFormat="1" x14ac:dyDescent="0.3"/>
    <row r="3389" s="1" customFormat="1" x14ac:dyDescent="0.3"/>
    <row r="3390" s="1" customFormat="1" x14ac:dyDescent="0.3"/>
    <row r="3391" s="1" customFormat="1" x14ac:dyDescent="0.3"/>
    <row r="3392" s="1" customFormat="1" x14ac:dyDescent="0.3"/>
    <row r="3393" s="1" customFormat="1" x14ac:dyDescent="0.3"/>
    <row r="3394" s="1" customFormat="1" x14ac:dyDescent="0.3"/>
    <row r="3395" s="1" customFormat="1" x14ac:dyDescent="0.3"/>
    <row r="3396" s="1" customFormat="1" x14ac:dyDescent="0.3"/>
    <row r="3397" s="1" customFormat="1" x14ac:dyDescent="0.3"/>
    <row r="3398" s="1" customFormat="1" x14ac:dyDescent="0.3"/>
    <row r="3399" s="1" customFormat="1" x14ac:dyDescent="0.3"/>
    <row r="3400" s="1" customFormat="1" x14ac:dyDescent="0.3"/>
    <row r="3401" s="1" customFormat="1" x14ac:dyDescent="0.3"/>
    <row r="3402" s="1" customFormat="1" x14ac:dyDescent="0.3"/>
    <row r="3403" s="1" customFormat="1" x14ac:dyDescent="0.3"/>
    <row r="3404" s="1" customFormat="1" x14ac:dyDescent="0.3"/>
    <row r="3405" s="1" customFormat="1" x14ac:dyDescent="0.3"/>
    <row r="3406" s="1" customFormat="1" x14ac:dyDescent="0.3"/>
    <row r="3407" s="1" customFormat="1" x14ac:dyDescent="0.3"/>
    <row r="3408" s="1" customFormat="1" x14ac:dyDescent="0.3"/>
    <row r="3409" s="1" customFormat="1" x14ac:dyDescent="0.3"/>
    <row r="3410" s="1" customFormat="1" x14ac:dyDescent="0.3"/>
    <row r="3411" s="1" customFormat="1" x14ac:dyDescent="0.3"/>
    <row r="3412" s="1" customFormat="1" x14ac:dyDescent="0.3"/>
    <row r="3413" s="1" customFormat="1" x14ac:dyDescent="0.3"/>
    <row r="3414" s="1" customFormat="1" x14ac:dyDescent="0.3"/>
    <row r="3415" s="1" customFormat="1" x14ac:dyDescent="0.3"/>
    <row r="3416" s="1" customFormat="1" x14ac:dyDescent="0.3"/>
    <row r="3417" s="1" customFormat="1" x14ac:dyDescent="0.3"/>
    <row r="3418" s="1" customFormat="1" x14ac:dyDescent="0.3"/>
    <row r="3419" s="1" customFormat="1" x14ac:dyDescent="0.3"/>
    <row r="3420" s="1" customFormat="1" x14ac:dyDescent="0.3"/>
    <row r="3421" s="1" customFormat="1" x14ac:dyDescent="0.3"/>
    <row r="3422" s="1" customFormat="1" x14ac:dyDescent="0.3"/>
    <row r="3423" s="1" customFormat="1" x14ac:dyDescent="0.3"/>
    <row r="3424" s="1" customFormat="1" x14ac:dyDescent="0.3"/>
    <row r="3425" s="1" customFormat="1" x14ac:dyDescent="0.3"/>
    <row r="3426" s="1" customFormat="1" x14ac:dyDescent="0.3"/>
    <row r="3427" s="1" customFormat="1" x14ac:dyDescent="0.3"/>
    <row r="3428" s="1" customFormat="1" x14ac:dyDescent="0.3"/>
    <row r="3429" s="1" customFormat="1" x14ac:dyDescent="0.3"/>
    <row r="3430" s="1" customFormat="1" x14ac:dyDescent="0.3"/>
    <row r="3431" s="1" customFormat="1" x14ac:dyDescent="0.3"/>
    <row r="3432" s="1" customFormat="1" x14ac:dyDescent="0.3"/>
    <row r="3433" s="1" customFormat="1" x14ac:dyDescent="0.3"/>
    <row r="3434" s="1" customFormat="1" x14ac:dyDescent="0.3"/>
    <row r="3435" s="1" customFormat="1" x14ac:dyDescent="0.3"/>
    <row r="3436" s="1" customFormat="1" x14ac:dyDescent="0.3"/>
    <row r="3437" s="1" customFormat="1" x14ac:dyDescent="0.3"/>
    <row r="3438" s="1" customFormat="1" x14ac:dyDescent="0.3"/>
    <row r="3439" s="1" customFormat="1" x14ac:dyDescent="0.3"/>
    <row r="3440" s="1" customFormat="1" x14ac:dyDescent="0.3"/>
    <row r="3441" s="1" customFormat="1" x14ac:dyDescent="0.3"/>
    <row r="3442" s="1" customFormat="1" x14ac:dyDescent="0.3"/>
    <row r="3443" s="1" customFormat="1" x14ac:dyDescent="0.3"/>
    <row r="3444" s="1" customFormat="1" x14ac:dyDescent="0.3"/>
    <row r="3445" s="1" customFormat="1" x14ac:dyDescent="0.3"/>
    <row r="3446" s="1" customFormat="1" x14ac:dyDescent="0.3"/>
    <row r="3447" s="1" customFormat="1" x14ac:dyDescent="0.3"/>
    <row r="3448" s="1" customFormat="1" x14ac:dyDescent="0.3"/>
    <row r="3449" s="1" customFormat="1" x14ac:dyDescent="0.3"/>
    <row r="3450" s="1" customFormat="1" x14ac:dyDescent="0.3"/>
    <row r="3451" s="1" customFormat="1" x14ac:dyDescent="0.3"/>
    <row r="3452" s="1" customFormat="1" x14ac:dyDescent="0.3"/>
    <row r="3453" s="1" customFormat="1" x14ac:dyDescent="0.3"/>
    <row r="3454" s="1" customFormat="1" x14ac:dyDescent="0.3"/>
    <row r="3455" s="1" customFormat="1" x14ac:dyDescent="0.3"/>
    <row r="3456" s="1" customFormat="1" x14ac:dyDescent="0.3"/>
    <row r="3457" s="1" customFormat="1" x14ac:dyDescent="0.3"/>
    <row r="3458" s="1" customFormat="1" x14ac:dyDescent="0.3"/>
    <row r="3459" s="1" customFormat="1" x14ac:dyDescent="0.3"/>
    <row r="3460" s="1" customFormat="1" x14ac:dyDescent="0.3"/>
    <row r="3461" s="1" customFormat="1" x14ac:dyDescent="0.3"/>
    <row r="3462" s="1" customFormat="1" x14ac:dyDescent="0.3"/>
    <row r="3463" s="1" customFormat="1" x14ac:dyDescent="0.3"/>
    <row r="3464" s="1" customFormat="1" x14ac:dyDescent="0.3"/>
    <row r="3465" s="1" customFormat="1" x14ac:dyDescent="0.3"/>
    <row r="3466" s="1" customFormat="1" x14ac:dyDescent="0.3"/>
    <row r="3467" s="1" customFormat="1" x14ac:dyDescent="0.3"/>
    <row r="3468" s="1" customFormat="1" x14ac:dyDescent="0.3"/>
    <row r="3469" s="1" customFormat="1" x14ac:dyDescent="0.3"/>
    <row r="3470" s="1" customFormat="1" x14ac:dyDescent="0.3"/>
    <row r="3471" s="1" customFormat="1" x14ac:dyDescent="0.3"/>
    <row r="3472" s="1" customFormat="1" x14ac:dyDescent="0.3"/>
    <row r="3473" s="1" customFormat="1" x14ac:dyDescent="0.3"/>
    <row r="3474" s="1" customFormat="1" x14ac:dyDescent="0.3"/>
    <row r="3475" s="1" customFormat="1" x14ac:dyDescent="0.3"/>
    <row r="3476" s="1" customFormat="1" x14ac:dyDescent="0.3"/>
    <row r="3477" s="1" customFormat="1" x14ac:dyDescent="0.3"/>
    <row r="3478" s="1" customFormat="1" x14ac:dyDescent="0.3"/>
    <row r="3479" s="1" customFormat="1" x14ac:dyDescent="0.3"/>
    <row r="3480" s="1" customFormat="1" x14ac:dyDescent="0.3"/>
    <row r="3481" s="1" customFormat="1" x14ac:dyDescent="0.3"/>
    <row r="3482" s="1" customFormat="1" x14ac:dyDescent="0.3"/>
    <row r="3483" s="1" customFormat="1" x14ac:dyDescent="0.3"/>
    <row r="3484" s="1" customFormat="1" x14ac:dyDescent="0.3"/>
    <row r="3485" s="1" customFormat="1" x14ac:dyDescent="0.3"/>
    <row r="3486" s="1" customFormat="1" x14ac:dyDescent="0.3"/>
    <row r="3487" s="1" customFormat="1" x14ac:dyDescent="0.3"/>
    <row r="3488" s="1" customFormat="1" x14ac:dyDescent="0.3"/>
    <row r="3489" s="1" customFormat="1" x14ac:dyDescent="0.3"/>
    <row r="3490" s="1" customFormat="1" x14ac:dyDescent="0.3"/>
    <row r="3491" s="1" customFormat="1" x14ac:dyDescent="0.3"/>
    <row r="3492" s="1" customFormat="1" x14ac:dyDescent="0.3"/>
    <row r="3493" s="1" customFormat="1" x14ac:dyDescent="0.3"/>
    <row r="3494" s="1" customFormat="1" x14ac:dyDescent="0.3"/>
    <row r="3495" s="1" customFormat="1" x14ac:dyDescent="0.3"/>
    <row r="3496" s="1" customFormat="1" x14ac:dyDescent="0.3"/>
    <row r="3497" s="1" customFormat="1" x14ac:dyDescent="0.3"/>
    <row r="3498" s="1" customFormat="1" x14ac:dyDescent="0.3"/>
    <row r="3499" s="1" customFormat="1" x14ac:dyDescent="0.3"/>
    <row r="3500" s="1" customFormat="1" x14ac:dyDescent="0.3"/>
    <row r="3501" s="1" customFormat="1" x14ac:dyDescent="0.3"/>
    <row r="3502" s="1" customFormat="1" x14ac:dyDescent="0.3"/>
    <row r="3503" s="1" customFormat="1" x14ac:dyDescent="0.3"/>
    <row r="3504" s="1" customFormat="1" x14ac:dyDescent="0.3"/>
    <row r="3505" s="1" customFormat="1" x14ac:dyDescent="0.3"/>
    <row r="3506" s="1" customFormat="1" x14ac:dyDescent="0.3"/>
    <row r="3507" s="1" customFormat="1" x14ac:dyDescent="0.3"/>
    <row r="3508" s="1" customFormat="1" x14ac:dyDescent="0.3"/>
    <row r="3509" s="1" customFormat="1" x14ac:dyDescent="0.3"/>
    <row r="3510" s="1" customFormat="1" x14ac:dyDescent="0.3"/>
    <row r="3511" s="1" customFormat="1" x14ac:dyDescent="0.3"/>
    <row r="3512" s="1" customFormat="1" x14ac:dyDescent="0.3"/>
    <row r="3513" s="1" customFormat="1" x14ac:dyDescent="0.3"/>
    <row r="3514" s="1" customFormat="1" x14ac:dyDescent="0.3"/>
    <row r="3515" s="1" customFormat="1" x14ac:dyDescent="0.3"/>
    <row r="3516" s="1" customFormat="1" x14ac:dyDescent="0.3"/>
    <row r="3517" s="1" customFormat="1" x14ac:dyDescent="0.3"/>
    <row r="3518" s="1" customFormat="1" x14ac:dyDescent="0.3"/>
    <row r="3519" s="1" customFormat="1" x14ac:dyDescent="0.3"/>
    <row r="3520" s="1" customFormat="1" x14ac:dyDescent="0.3"/>
    <row r="3521" s="1" customFormat="1" x14ac:dyDescent="0.3"/>
    <row r="3522" s="1" customFormat="1" x14ac:dyDescent="0.3"/>
    <row r="3523" s="1" customFormat="1" x14ac:dyDescent="0.3"/>
    <row r="3524" s="1" customFormat="1" x14ac:dyDescent="0.3"/>
    <row r="3525" s="1" customFormat="1" x14ac:dyDescent="0.3"/>
    <row r="3526" s="1" customFormat="1" x14ac:dyDescent="0.3"/>
    <row r="3527" s="1" customFormat="1" x14ac:dyDescent="0.3"/>
    <row r="3528" s="1" customFormat="1" x14ac:dyDescent="0.3"/>
    <row r="3529" s="1" customFormat="1" x14ac:dyDescent="0.3"/>
    <row r="3530" s="1" customFormat="1" x14ac:dyDescent="0.3"/>
    <row r="3531" s="1" customFormat="1" x14ac:dyDescent="0.3"/>
    <row r="3532" s="1" customFormat="1" x14ac:dyDescent="0.3"/>
    <row r="3533" s="1" customFormat="1" x14ac:dyDescent="0.3"/>
    <row r="3534" s="1" customFormat="1" x14ac:dyDescent="0.3"/>
    <row r="3535" s="1" customFormat="1" x14ac:dyDescent="0.3"/>
    <row r="3536" s="1" customFormat="1" x14ac:dyDescent="0.3"/>
    <row r="3537" s="1" customFormat="1" x14ac:dyDescent="0.3"/>
    <row r="3538" s="1" customFormat="1" x14ac:dyDescent="0.3"/>
    <row r="3539" s="1" customFormat="1" x14ac:dyDescent="0.3"/>
    <row r="3540" s="1" customFormat="1" x14ac:dyDescent="0.3"/>
    <row r="3541" s="1" customFormat="1" x14ac:dyDescent="0.3"/>
    <row r="3542" s="1" customFormat="1" x14ac:dyDescent="0.3"/>
    <row r="3543" s="1" customFormat="1" x14ac:dyDescent="0.3"/>
    <row r="3544" s="1" customFormat="1" x14ac:dyDescent="0.3"/>
    <row r="3545" s="1" customFormat="1" x14ac:dyDescent="0.3"/>
    <row r="3546" s="1" customFormat="1" x14ac:dyDescent="0.3"/>
    <row r="3547" s="1" customFormat="1" x14ac:dyDescent="0.3"/>
    <row r="3548" s="1" customFormat="1" x14ac:dyDescent="0.3"/>
    <row r="3549" s="1" customFormat="1" x14ac:dyDescent="0.3"/>
    <row r="3550" s="1" customFormat="1" x14ac:dyDescent="0.3"/>
    <row r="3551" s="1" customFormat="1" x14ac:dyDescent="0.3"/>
    <row r="3552" s="1" customFormat="1" x14ac:dyDescent="0.3"/>
    <row r="3553" s="1" customFormat="1" x14ac:dyDescent="0.3"/>
    <row r="3554" s="1" customFormat="1" x14ac:dyDescent="0.3"/>
    <row r="3555" s="1" customFormat="1" x14ac:dyDescent="0.3"/>
    <row r="3556" s="1" customFormat="1" x14ac:dyDescent="0.3"/>
    <row r="3557" s="1" customFormat="1" x14ac:dyDescent="0.3"/>
    <row r="3558" s="1" customFormat="1" x14ac:dyDescent="0.3"/>
    <row r="3559" s="1" customFormat="1" x14ac:dyDescent="0.3"/>
    <row r="3560" s="1" customFormat="1" x14ac:dyDescent="0.3"/>
    <row r="3561" s="1" customFormat="1" x14ac:dyDescent="0.3"/>
    <row r="3562" s="1" customFormat="1" x14ac:dyDescent="0.3"/>
    <row r="3563" s="1" customFormat="1" x14ac:dyDescent="0.3"/>
    <row r="3564" s="1" customFormat="1" x14ac:dyDescent="0.3"/>
    <row r="3565" s="1" customFormat="1" x14ac:dyDescent="0.3"/>
    <row r="3566" s="1" customFormat="1" x14ac:dyDescent="0.3"/>
    <row r="3567" s="1" customFormat="1" x14ac:dyDescent="0.3"/>
    <row r="3568" s="1" customFormat="1" x14ac:dyDescent="0.3"/>
    <row r="3569" s="1" customFormat="1" x14ac:dyDescent="0.3"/>
    <row r="3570" s="1" customFormat="1" x14ac:dyDescent="0.3"/>
    <row r="3571" s="1" customFormat="1" x14ac:dyDescent="0.3"/>
    <row r="3572" s="1" customFormat="1" x14ac:dyDescent="0.3"/>
    <row r="3573" s="1" customFormat="1" x14ac:dyDescent="0.3"/>
    <row r="3574" s="1" customFormat="1" x14ac:dyDescent="0.3"/>
    <row r="3575" s="1" customFormat="1" x14ac:dyDescent="0.3"/>
    <row r="3576" s="1" customFormat="1" x14ac:dyDescent="0.3"/>
    <row r="3577" s="1" customFormat="1" x14ac:dyDescent="0.3"/>
    <row r="3578" s="1" customFormat="1" x14ac:dyDescent="0.3"/>
    <row r="3579" s="1" customFormat="1" x14ac:dyDescent="0.3"/>
    <row r="3580" s="1" customFormat="1" x14ac:dyDescent="0.3"/>
    <row r="3581" s="1" customFormat="1" x14ac:dyDescent="0.3"/>
    <row r="3582" s="1" customFormat="1" x14ac:dyDescent="0.3"/>
    <row r="3583" s="1" customFormat="1" x14ac:dyDescent="0.3"/>
    <row r="3584" s="1" customFormat="1" x14ac:dyDescent="0.3"/>
    <row r="3585" s="1" customFormat="1" x14ac:dyDescent="0.3"/>
    <row r="3586" s="1" customFormat="1" x14ac:dyDescent="0.3"/>
    <row r="3587" s="1" customFormat="1" x14ac:dyDescent="0.3"/>
    <row r="3588" s="1" customFormat="1" x14ac:dyDescent="0.3"/>
    <row r="3589" s="1" customFormat="1" x14ac:dyDescent="0.3"/>
    <row r="3590" s="1" customFormat="1" x14ac:dyDescent="0.3"/>
    <row r="3591" s="1" customFormat="1" x14ac:dyDescent="0.3"/>
    <row r="3592" s="1" customFormat="1" x14ac:dyDescent="0.3"/>
    <row r="3593" s="1" customFormat="1" x14ac:dyDescent="0.3"/>
    <row r="3594" s="1" customFormat="1" x14ac:dyDescent="0.3"/>
    <row r="3595" s="1" customFormat="1" x14ac:dyDescent="0.3"/>
    <row r="3596" s="1" customFormat="1" x14ac:dyDescent="0.3"/>
    <row r="3597" s="1" customFormat="1" x14ac:dyDescent="0.3"/>
    <row r="3598" s="1" customFormat="1" x14ac:dyDescent="0.3"/>
    <row r="3599" s="1" customFormat="1" x14ac:dyDescent="0.3"/>
    <row r="3600" s="1" customFormat="1" x14ac:dyDescent="0.3"/>
    <row r="3601" s="1" customFormat="1" x14ac:dyDescent="0.3"/>
    <row r="3602" s="1" customFormat="1" x14ac:dyDescent="0.3"/>
    <row r="3603" s="1" customFormat="1" x14ac:dyDescent="0.3"/>
    <row r="3604" s="1" customFormat="1" x14ac:dyDescent="0.3"/>
    <row r="3605" s="1" customFormat="1" x14ac:dyDescent="0.3"/>
    <row r="3606" s="1" customFormat="1" x14ac:dyDescent="0.3"/>
    <row r="3607" s="1" customFormat="1" x14ac:dyDescent="0.3"/>
    <row r="3608" s="1" customFormat="1" x14ac:dyDescent="0.3"/>
    <row r="3609" s="1" customFormat="1" x14ac:dyDescent="0.3"/>
    <row r="3610" s="1" customFormat="1" x14ac:dyDescent="0.3"/>
    <row r="3611" s="1" customFormat="1" x14ac:dyDescent="0.3"/>
    <row r="3612" s="1" customFormat="1" x14ac:dyDescent="0.3"/>
    <row r="3613" s="1" customFormat="1" x14ac:dyDescent="0.3"/>
    <row r="3614" s="1" customFormat="1" x14ac:dyDescent="0.3"/>
    <row r="3615" s="1" customFormat="1" x14ac:dyDescent="0.3"/>
    <row r="3616" s="1" customFormat="1" x14ac:dyDescent="0.3"/>
    <row r="3617" s="1" customFormat="1" x14ac:dyDescent="0.3"/>
    <row r="3618" s="1" customFormat="1" x14ac:dyDescent="0.3"/>
    <row r="3619" s="1" customFormat="1" x14ac:dyDescent="0.3"/>
    <row r="3620" s="1" customFormat="1" x14ac:dyDescent="0.3"/>
    <row r="3621" s="1" customFormat="1" x14ac:dyDescent="0.3"/>
    <row r="3622" s="1" customFormat="1" x14ac:dyDescent="0.3"/>
    <row r="3623" s="1" customFormat="1" x14ac:dyDescent="0.3"/>
    <row r="3624" s="1" customFormat="1" x14ac:dyDescent="0.3"/>
    <row r="3625" s="1" customFormat="1" x14ac:dyDescent="0.3"/>
    <row r="3626" s="1" customFormat="1" x14ac:dyDescent="0.3"/>
    <row r="3627" s="1" customFormat="1" x14ac:dyDescent="0.3"/>
    <row r="3628" s="1" customFormat="1" x14ac:dyDescent="0.3"/>
    <row r="3629" s="1" customFormat="1" x14ac:dyDescent="0.3"/>
    <row r="3630" s="1" customFormat="1" x14ac:dyDescent="0.3"/>
    <row r="3631" s="1" customFormat="1" x14ac:dyDescent="0.3"/>
    <row r="3632" s="1" customFormat="1" x14ac:dyDescent="0.3"/>
    <row r="3633" s="1" customFormat="1" x14ac:dyDescent="0.3"/>
    <row r="3634" s="1" customFormat="1" x14ac:dyDescent="0.3"/>
    <row r="3635" s="1" customFormat="1" x14ac:dyDescent="0.3"/>
    <row r="3636" s="1" customFormat="1" x14ac:dyDescent="0.3"/>
    <row r="3637" s="1" customFormat="1" x14ac:dyDescent="0.3"/>
    <row r="3638" s="1" customFormat="1" x14ac:dyDescent="0.3"/>
    <row r="3639" s="1" customFormat="1" x14ac:dyDescent="0.3"/>
    <row r="3640" s="1" customFormat="1" x14ac:dyDescent="0.3"/>
    <row r="3641" s="1" customFormat="1" x14ac:dyDescent="0.3"/>
    <row r="3642" s="1" customFormat="1" x14ac:dyDescent="0.3"/>
    <row r="3643" s="1" customFormat="1" x14ac:dyDescent="0.3"/>
    <row r="3644" s="1" customFormat="1" x14ac:dyDescent="0.3"/>
    <row r="3645" s="1" customFormat="1" x14ac:dyDescent="0.3"/>
    <row r="3646" s="1" customFormat="1" x14ac:dyDescent="0.3"/>
    <row r="3647" s="1" customFormat="1" x14ac:dyDescent="0.3"/>
    <row r="3648" s="1" customFormat="1" x14ac:dyDescent="0.3"/>
    <row r="3649" s="1" customFormat="1" x14ac:dyDescent="0.3"/>
    <row r="3650" s="1" customFormat="1" x14ac:dyDescent="0.3"/>
    <row r="3651" s="1" customFormat="1" x14ac:dyDescent="0.3"/>
    <row r="3652" s="1" customFormat="1" x14ac:dyDescent="0.3"/>
    <row r="3653" s="1" customFormat="1" x14ac:dyDescent="0.3"/>
    <row r="3654" s="1" customFormat="1" x14ac:dyDescent="0.3"/>
    <row r="3655" s="1" customFormat="1" x14ac:dyDescent="0.3"/>
    <row r="3656" s="1" customFormat="1" x14ac:dyDescent="0.3"/>
    <row r="3657" s="1" customFormat="1" x14ac:dyDescent="0.3"/>
    <row r="3658" s="1" customFormat="1" x14ac:dyDescent="0.3"/>
    <row r="3659" s="1" customFormat="1" x14ac:dyDescent="0.3"/>
    <row r="3660" s="1" customFormat="1" x14ac:dyDescent="0.3"/>
    <row r="3661" s="1" customFormat="1" x14ac:dyDescent="0.3"/>
    <row r="3662" s="1" customFormat="1" x14ac:dyDescent="0.3"/>
    <row r="3663" s="1" customFormat="1" x14ac:dyDescent="0.3"/>
    <row r="3664" s="1" customFormat="1" x14ac:dyDescent="0.3"/>
    <row r="3665" s="1" customFormat="1" x14ac:dyDescent="0.3"/>
    <row r="3666" s="1" customFormat="1" x14ac:dyDescent="0.3"/>
    <row r="3667" s="1" customFormat="1" x14ac:dyDescent="0.3"/>
    <row r="3668" s="1" customFormat="1" x14ac:dyDescent="0.3"/>
    <row r="3669" s="1" customFormat="1" x14ac:dyDescent="0.3"/>
    <row r="3670" s="1" customFormat="1" x14ac:dyDescent="0.3"/>
    <row r="3671" s="1" customFormat="1" x14ac:dyDescent="0.3"/>
    <row r="3672" s="1" customFormat="1" x14ac:dyDescent="0.3"/>
    <row r="3673" s="1" customFormat="1" x14ac:dyDescent="0.3"/>
    <row r="3674" s="1" customFormat="1" x14ac:dyDescent="0.3"/>
    <row r="3675" s="1" customFormat="1" x14ac:dyDescent="0.3"/>
    <row r="3676" s="1" customFormat="1" x14ac:dyDescent="0.3"/>
    <row r="3677" s="1" customFormat="1" x14ac:dyDescent="0.3"/>
    <row r="3678" s="1" customFormat="1" x14ac:dyDescent="0.3"/>
    <row r="3679" s="1" customFormat="1" x14ac:dyDescent="0.3"/>
    <row r="3680" s="1" customFormat="1" x14ac:dyDescent="0.3"/>
    <row r="3681" s="1" customFormat="1" x14ac:dyDescent="0.3"/>
    <row r="3682" s="1" customFormat="1" x14ac:dyDescent="0.3"/>
    <row r="3683" s="1" customFormat="1" x14ac:dyDescent="0.3"/>
    <row r="3684" s="1" customFormat="1" x14ac:dyDescent="0.3"/>
    <row r="3685" s="1" customFormat="1" x14ac:dyDescent="0.3"/>
    <row r="3686" s="1" customFormat="1" x14ac:dyDescent="0.3"/>
    <row r="3687" s="1" customFormat="1" x14ac:dyDescent="0.3"/>
    <row r="3688" s="1" customFormat="1" x14ac:dyDescent="0.3"/>
    <row r="3689" s="1" customFormat="1" x14ac:dyDescent="0.3"/>
    <row r="3690" s="1" customFormat="1" x14ac:dyDescent="0.3"/>
    <row r="3691" s="1" customFormat="1" x14ac:dyDescent="0.3"/>
    <row r="3692" s="1" customFormat="1" x14ac:dyDescent="0.3"/>
    <row r="3693" s="1" customFormat="1" x14ac:dyDescent="0.3"/>
    <row r="3694" s="1" customFormat="1" x14ac:dyDescent="0.3"/>
    <row r="3695" s="1" customFormat="1" x14ac:dyDescent="0.3"/>
    <row r="3696" s="1" customFormat="1" x14ac:dyDescent="0.3"/>
    <row r="3697" s="1" customFormat="1" x14ac:dyDescent="0.3"/>
    <row r="3698" s="1" customFormat="1" x14ac:dyDescent="0.3"/>
    <row r="3699" s="1" customFormat="1" x14ac:dyDescent="0.3"/>
    <row r="3700" s="1" customFormat="1" x14ac:dyDescent="0.3"/>
    <row r="3701" s="1" customFormat="1" x14ac:dyDescent="0.3"/>
    <row r="3702" s="1" customFormat="1" x14ac:dyDescent="0.3"/>
    <row r="3703" s="1" customFormat="1" x14ac:dyDescent="0.3"/>
    <row r="3704" s="1" customFormat="1" x14ac:dyDescent="0.3"/>
    <row r="3705" s="1" customFormat="1" x14ac:dyDescent="0.3"/>
    <row r="3706" s="1" customFormat="1" x14ac:dyDescent="0.3"/>
    <row r="3707" s="1" customFormat="1" x14ac:dyDescent="0.3"/>
    <row r="3708" s="1" customFormat="1" x14ac:dyDescent="0.3"/>
    <row r="3709" s="1" customFormat="1" x14ac:dyDescent="0.3"/>
    <row r="3710" s="1" customFormat="1" x14ac:dyDescent="0.3"/>
    <row r="3711" s="1" customFormat="1" x14ac:dyDescent="0.3"/>
    <row r="3712" s="1" customFormat="1" x14ac:dyDescent="0.3"/>
    <row r="3713" s="1" customFormat="1" x14ac:dyDescent="0.3"/>
    <row r="3714" s="1" customFormat="1" x14ac:dyDescent="0.3"/>
    <row r="3715" s="1" customFormat="1" x14ac:dyDescent="0.3"/>
    <row r="3716" s="1" customFormat="1" x14ac:dyDescent="0.3"/>
    <row r="3717" s="1" customFormat="1" x14ac:dyDescent="0.3"/>
    <row r="3718" s="1" customFormat="1" x14ac:dyDescent="0.3"/>
    <row r="3719" s="1" customFormat="1" x14ac:dyDescent="0.3"/>
    <row r="3720" s="1" customFormat="1" x14ac:dyDescent="0.3"/>
    <row r="3721" s="1" customFormat="1" x14ac:dyDescent="0.3"/>
    <row r="3722" s="1" customFormat="1" x14ac:dyDescent="0.3"/>
    <row r="3723" s="1" customFormat="1" x14ac:dyDescent="0.3"/>
    <row r="3724" s="1" customFormat="1" x14ac:dyDescent="0.3"/>
    <row r="3725" s="1" customFormat="1" x14ac:dyDescent="0.3"/>
    <row r="3726" s="1" customFormat="1" x14ac:dyDescent="0.3"/>
    <row r="3727" s="1" customFormat="1" x14ac:dyDescent="0.3"/>
    <row r="3728" s="1" customFormat="1" x14ac:dyDescent="0.3"/>
    <row r="3729" s="1" customFormat="1" x14ac:dyDescent="0.3"/>
    <row r="3730" s="1" customFormat="1" x14ac:dyDescent="0.3"/>
    <row r="3731" s="1" customFormat="1" x14ac:dyDescent="0.3"/>
    <row r="3732" s="1" customFormat="1" x14ac:dyDescent="0.3"/>
    <row r="3733" s="1" customFormat="1" x14ac:dyDescent="0.3"/>
    <row r="3734" s="1" customFormat="1" x14ac:dyDescent="0.3"/>
    <row r="3735" s="1" customFormat="1" x14ac:dyDescent="0.3"/>
    <row r="3736" s="1" customFormat="1" x14ac:dyDescent="0.3"/>
    <row r="3737" s="1" customFormat="1" x14ac:dyDescent="0.3"/>
    <row r="3738" s="1" customFormat="1" x14ac:dyDescent="0.3"/>
    <row r="3739" s="1" customFormat="1" x14ac:dyDescent="0.3"/>
    <row r="3740" s="1" customFormat="1" x14ac:dyDescent="0.3"/>
    <row r="3741" s="1" customFormat="1" x14ac:dyDescent="0.3"/>
    <row r="3742" s="1" customFormat="1" x14ac:dyDescent="0.3"/>
    <row r="3743" s="1" customFormat="1" x14ac:dyDescent="0.3"/>
    <row r="3744" s="1" customFormat="1" x14ac:dyDescent="0.3"/>
    <row r="3745" s="1" customFormat="1" x14ac:dyDescent="0.3"/>
    <row r="3746" s="1" customFormat="1" x14ac:dyDescent="0.3"/>
    <row r="3747" s="1" customFormat="1" x14ac:dyDescent="0.3"/>
    <row r="3748" s="1" customFormat="1" x14ac:dyDescent="0.3"/>
    <row r="3749" s="1" customFormat="1" x14ac:dyDescent="0.3"/>
    <row r="3750" s="1" customFormat="1" x14ac:dyDescent="0.3"/>
    <row r="3751" s="1" customFormat="1" x14ac:dyDescent="0.3"/>
    <row r="3752" s="1" customFormat="1" x14ac:dyDescent="0.3"/>
    <row r="3753" s="1" customFormat="1" x14ac:dyDescent="0.3"/>
    <row r="3754" s="1" customFormat="1" x14ac:dyDescent="0.3"/>
    <row r="3755" s="1" customFormat="1" x14ac:dyDescent="0.3"/>
    <row r="3756" s="1" customFormat="1" x14ac:dyDescent="0.3"/>
    <row r="3757" s="1" customFormat="1" x14ac:dyDescent="0.3"/>
    <row r="3758" s="1" customFormat="1" x14ac:dyDescent="0.3"/>
    <row r="3759" s="1" customFormat="1" x14ac:dyDescent="0.3"/>
    <row r="3760" s="1" customFormat="1" x14ac:dyDescent="0.3"/>
    <row r="3761" s="1" customFormat="1" x14ac:dyDescent="0.3"/>
    <row r="3762" s="1" customFormat="1" x14ac:dyDescent="0.3"/>
    <row r="3763" s="1" customFormat="1" x14ac:dyDescent="0.3"/>
    <row r="3764" s="1" customFormat="1" x14ac:dyDescent="0.3"/>
    <row r="3765" s="1" customFormat="1" x14ac:dyDescent="0.3"/>
    <row r="3766" s="1" customFormat="1" x14ac:dyDescent="0.3"/>
    <row r="3767" s="1" customFormat="1" x14ac:dyDescent="0.3"/>
    <row r="3768" s="1" customFormat="1" x14ac:dyDescent="0.3"/>
    <row r="3769" s="1" customFormat="1" x14ac:dyDescent="0.3"/>
    <row r="3770" s="1" customFormat="1" x14ac:dyDescent="0.3"/>
    <row r="3771" s="1" customFormat="1" x14ac:dyDescent="0.3"/>
    <row r="3772" s="1" customFormat="1" x14ac:dyDescent="0.3"/>
    <row r="3773" s="1" customFormat="1" x14ac:dyDescent="0.3"/>
    <row r="3774" s="1" customFormat="1" x14ac:dyDescent="0.3"/>
    <row r="3775" s="1" customFormat="1" x14ac:dyDescent="0.3"/>
    <row r="3776" s="1" customFormat="1" x14ac:dyDescent="0.3"/>
    <row r="3777" s="1" customFormat="1" x14ac:dyDescent="0.3"/>
    <row r="3778" s="1" customFormat="1" x14ac:dyDescent="0.3"/>
    <row r="3779" s="1" customFormat="1" x14ac:dyDescent="0.3"/>
    <row r="3780" s="1" customFormat="1" x14ac:dyDescent="0.3"/>
    <row r="3781" s="1" customFormat="1" x14ac:dyDescent="0.3"/>
    <row r="3782" s="1" customFormat="1" x14ac:dyDescent="0.3"/>
    <row r="3783" s="1" customFormat="1" x14ac:dyDescent="0.3"/>
    <row r="3784" s="1" customFormat="1" x14ac:dyDescent="0.3"/>
    <row r="3785" s="1" customFormat="1" x14ac:dyDescent="0.3"/>
    <row r="3786" s="1" customFormat="1" x14ac:dyDescent="0.3"/>
    <row r="3787" s="1" customFormat="1" x14ac:dyDescent="0.3"/>
    <row r="3788" s="1" customFormat="1" x14ac:dyDescent="0.3"/>
    <row r="3789" s="1" customFormat="1" x14ac:dyDescent="0.3"/>
    <row r="3790" s="1" customFormat="1" x14ac:dyDescent="0.3"/>
    <row r="3791" s="1" customFormat="1" x14ac:dyDescent="0.3"/>
    <row r="3792" s="1" customFormat="1" x14ac:dyDescent="0.3"/>
    <row r="3793" s="1" customFormat="1" x14ac:dyDescent="0.3"/>
    <row r="3794" s="1" customFormat="1" x14ac:dyDescent="0.3"/>
    <row r="3795" s="1" customFormat="1" x14ac:dyDescent="0.3"/>
    <row r="3796" s="1" customFormat="1" x14ac:dyDescent="0.3"/>
    <row r="3797" s="1" customFormat="1" x14ac:dyDescent="0.3"/>
    <row r="3798" s="1" customFormat="1" x14ac:dyDescent="0.3"/>
    <row r="3799" s="1" customFormat="1" x14ac:dyDescent="0.3"/>
    <row r="3800" s="1" customFormat="1" x14ac:dyDescent="0.3"/>
    <row r="3801" s="1" customFormat="1" x14ac:dyDescent="0.3"/>
    <row r="3802" s="1" customFormat="1" x14ac:dyDescent="0.3"/>
    <row r="3803" s="1" customFormat="1" x14ac:dyDescent="0.3"/>
    <row r="3804" s="1" customFormat="1" x14ac:dyDescent="0.3"/>
    <row r="3805" s="1" customFormat="1" x14ac:dyDescent="0.3"/>
    <row r="3806" s="1" customFormat="1" x14ac:dyDescent="0.3"/>
    <row r="3807" s="1" customFormat="1" x14ac:dyDescent="0.3"/>
    <row r="3808" s="1" customFormat="1" x14ac:dyDescent="0.3"/>
    <row r="3809" s="1" customFormat="1" x14ac:dyDescent="0.3"/>
    <row r="3810" s="1" customFormat="1" x14ac:dyDescent="0.3"/>
    <row r="3811" s="1" customFormat="1" x14ac:dyDescent="0.3"/>
    <row r="3812" s="1" customFormat="1" x14ac:dyDescent="0.3"/>
    <row r="3813" s="1" customFormat="1" x14ac:dyDescent="0.3"/>
    <row r="3814" s="1" customFormat="1" x14ac:dyDescent="0.3"/>
    <row r="3815" s="1" customFormat="1" x14ac:dyDescent="0.3"/>
    <row r="3816" s="1" customFormat="1" x14ac:dyDescent="0.3"/>
    <row r="3817" s="1" customFormat="1" x14ac:dyDescent="0.3"/>
    <row r="3818" s="1" customFormat="1" x14ac:dyDescent="0.3"/>
    <row r="3819" s="1" customFormat="1" x14ac:dyDescent="0.3"/>
    <row r="3820" s="1" customFormat="1" x14ac:dyDescent="0.3"/>
    <row r="3821" s="1" customFormat="1" x14ac:dyDescent="0.3"/>
    <row r="3822" s="1" customFormat="1" x14ac:dyDescent="0.3"/>
    <row r="3823" s="1" customFormat="1" x14ac:dyDescent="0.3"/>
    <row r="3824" s="1" customFormat="1" x14ac:dyDescent="0.3"/>
    <row r="3825" s="1" customFormat="1" x14ac:dyDescent="0.3"/>
    <row r="3826" s="1" customFormat="1" x14ac:dyDescent="0.3"/>
    <row r="3827" s="1" customFormat="1" x14ac:dyDescent="0.3"/>
    <row r="3828" s="1" customFormat="1" x14ac:dyDescent="0.3"/>
    <row r="3829" s="1" customFormat="1" x14ac:dyDescent="0.3"/>
    <row r="3830" s="1" customFormat="1" x14ac:dyDescent="0.3"/>
    <row r="3831" s="1" customFormat="1" x14ac:dyDescent="0.3"/>
    <row r="3832" s="1" customFormat="1" x14ac:dyDescent="0.3"/>
    <row r="3833" s="1" customFormat="1" x14ac:dyDescent="0.3"/>
    <row r="3834" s="1" customFormat="1" x14ac:dyDescent="0.3"/>
    <row r="3835" s="1" customFormat="1" x14ac:dyDescent="0.3"/>
    <row r="3836" s="1" customFormat="1" x14ac:dyDescent="0.3"/>
    <row r="3837" s="1" customFormat="1" x14ac:dyDescent="0.3"/>
    <row r="3838" s="1" customFormat="1" x14ac:dyDescent="0.3"/>
    <row r="3839" s="1" customFormat="1" x14ac:dyDescent="0.3"/>
    <row r="3840" s="1" customFormat="1" x14ac:dyDescent="0.3"/>
    <row r="3841" s="1" customFormat="1" x14ac:dyDescent="0.3"/>
    <row r="3842" s="1" customFormat="1" x14ac:dyDescent="0.3"/>
    <row r="3843" s="1" customFormat="1" x14ac:dyDescent="0.3"/>
    <row r="3844" s="1" customFormat="1" x14ac:dyDescent="0.3"/>
    <row r="3845" s="1" customFormat="1" x14ac:dyDescent="0.3"/>
    <row r="3846" s="1" customFormat="1" x14ac:dyDescent="0.3"/>
    <row r="3847" s="1" customFormat="1" x14ac:dyDescent="0.3"/>
    <row r="3848" s="1" customFormat="1" x14ac:dyDescent="0.3"/>
    <row r="3849" s="1" customFormat="1" x14ac:dyDescent="0.3"/>
    <row r="3850" s="1" customFormat="1" x14ac:dyDescent="0.3"/>
    <row r="3851" s="1" customFormat="1" x14ac:dyDescent="0.3"/>
    <row r="3852" s="1" customFormat="1" x14ac:dyDescent="0.3"/>
    <row r="3853" s="1" customFormat="1" x14ac:dyDescent="0.3"/>
    <row r="3854" s="1" customFormat="1" x14ac:dyDescent="0.3"/>
    <row r="3855" s="1" customFormat="1" x14ac:dyDescent="0.3"/>
    <row r="3856" s="1" customFormat="1" x14ac:dyDescent="0.3"/>
    <row r="3857" s="1" customFormat="1" x14ac:dyDescent="0.3"/>
    <row r="3858" s="1" customFormat="1" x14ac:dyDescent="0.3"/>
    <row r="3859" s="1" customFormat="1" x14ac:dyDescent="0.3"/>
    <row r="3860" s="1" customFormat="1" x14ac:dyDescent="0.3"/>
    <row r="3861" s="1" customFormat="1" x14ac:dyDescent="0.3"/>
    <row r="3862" s="1" customFormat="1" x14ac:dyDescent="0.3"/>
    <row r="3863" s="1" customFormat="1" x14ac:dyDescent="0.3"/>
    <row r="3864" s="1" customFormat="1" x14ac:dyDescent="0.3"/>
    <row r="3865" s="1" customFormat="1" x14ac:dyDescent="0.3"/>
    <row r="3866" s="1" customFormat="1" x14ac:dyDescent="0.3"/>
    <row r="3867" s="1" customFormat="1" x14ac:dyDescent="0.3"/>
    <row r="3868" s="1" customFormat="1" x14ac:dyDescent="0.3"/>
    <row r="3869" s="1" customFormat="1" x14ac:dyDescent="0.3"/>
    <row r="3870" s="1" customFormat="1" x14ac:dyDescent="0.3"/>
    <row r="3871" s="1" customFormat="1" x14ac:dyDescent="0.3"/>
    <row r="3872" s="1" customFormat="1" x14ac:dyDescent="0.3"/>
    <row r="3873" s="1" customFormat="1" x14ac:dyDescent="0.3"/>
    <row r="3874" s="1" customFormat="1" x14ac:dyDescent="0.3"/>
    <row r="3875" s="1" customFormat="1" x14ac:dyDescent="0.3"/>
    <row r="3876" s="1" customFormat="1" x14ac:dyDescent="0.3"/>
    <row r="3877" s="1" customFormat="1" x14ac:dyDescent="0.3"/>
    <row r="3878" s="1" customFormat="1" x14ac:dyDescent="0.3"/>
    <row r="3879" s="1" customFormat="1" x14ac:dyDescent="0.3"/>
    <row r="3880" s="1" customFormat="1" x14ac:dyDescent="0.3"/>
    <row r="3881" s="1" customFormat="1" x14ac:dyDescent="0.3"/>
    <row r="3882" s="1" customFormat="1" x14ac:dyDescent="0.3"/>
    <row r="3883" s="1" customFormat="1" x14ac:dyDescent="0.3"/>
    <row r="3884" s="1" customFormat="1" x14ac:dyDescent="0.3"/>
    <row r="3885" s="1" customFormat="1" x14ac:dyDescent="0.3"/>
    <row r="3886" s="1" customFormat="1" x14ac:dyDescent="0.3"/>
    <row r="3887" s="1" customFormat="1" x14ac:dyDescent="0.3"/>
    <row r="3888" s="1" customFormat="1" x14ac:dyDescent="0.3"/>
    <row r="3889" s="1" customFormat="1" x14ac:dyDescent="0.3"/>
    <row r="3890" s="1" customFormat="1" x14ac:dyDescent="0.3"/>
    <row r="3891" s="1" customFormat="1" x14ac:dyDescent="0.3"/>
    <row r="3892" s="1" customFormat="1" x14ac:dyDescent="0.3"/>
    <row r="3893" s="1" customFormat="1" x14ac:dyDescent="0.3"/>
    <row r="3894" s="1" customFormat="1" x14ac:dyDescent="0.3"/>
    <row r="3895" s="1" customFormat="1" x14ac:dyDescent="0.3"/>
    <row r="3896" s="1" customFormat="1" x14ac:dyDescent="0.3"/>
    <row r="3897" s="1" customFormat="1" x14ac:dyDescent="0.3"/>
    <row r="3898" s="1" customFormat="1" x14ac:dyDescent="0.3"/>
    <row r="3899" s="1" customFormat="1" x14ac:dyDescent="0.3"/>
    <row r="3900" s="1" customFormat="1" x14ac:dyDescent="0.3"/>
    <row r="3901" s="1" customFormat="1" x14ac:dyDescent="0.3"/>
    <row r="3902" s="1" customFormat="1" x14ac:dyDescent="0.3"/>
    <row r="3903" s="1" customFormat="1" x14ac:dyDescent="0.3"/>
    <row r="3904" s="1" customFormat="1" x14ac:dyDescent="0.3"/>
    <row r="3905" s="1" customFormat="1" x14ac:dyDescent="0.3"/>
    <row r="3906" s="1" customFormat="1" x14ac:dyDescent="0.3"/>
    <row r="3907" s="1" customFormat="1" x14ac:dyDescent="0.3"/>
    <row r="3908" s="1" customFormat="1" x14ac:dyDescent="0.3"/>
    <row r="3909" s="1" customFormat="1" x14ac:dyDescent="0.3"/>
    <row r="3910" s="1" customFormat="1" x14ac:dyDescent="0.3"/>
    <row r="3911" s="1" customFormat="1" x14ac:dyDescent="0.3"/>
    <row r="3912" s="1" customFormat="1" x14ac:dyDescent="0.3"/>
    <row r="3913" s="1" customFormat="1" x14ac:dyDescent="0.3"/>
    <row r="3914" s="1" customFormat="1" x14ac:dyDescent="0.3"/>
    <row r="3915" s="1" customFormat="1" x14ac:dyDescent="0.3"/>
    <row r="3916" s="1" customFormat="1" x14ac:dyDescent="0.3"/>
    <row r="3917" s="1" customFormat="1" x14ac:dyDescent="0.3"/>
    <row r="3918" s="1" customFormat="1" x14ac:dyDescent="0.3"/>
    <row r="3919" s="1" customFormat="1" x14ac:dyDescent="0.3"/>
    <row r="3920" s="1" customFormat="1" x14ac:dyDescent="0.3"/>
    <row r="3921" s="1" customFormat="1" x14ac:dyDescent="0.3"/>
    <row r="3922" s="1" customFormat="1" x14ac:dyDescent="0.3"/>
    <row r="3923" s="1" customFormat="1" x14ac:dyDescent="0.3"/>
    <row r="3924" s="1" customFormat="1" x14ac:dyDescent="0.3"/>
    <row r="3925" s="1" customFormat="1" x14ac:dyDescent="0.3"/>
    <row r="3926" s="1" customFormat="1" x14ac:dyDescent="0.3"/>
    <row r="3927" s="1" customFormat="1" x14ac:dyDescent="0.3"/>
    <row r="3928" s="1" customFormat="1" x14ac:dyDescent="0.3"/>
    <row r="3929" s="1" customFormat="1" x14ac:dyDescent="0.3"/>
    <row r="3930" s="1" customFormat="1" x14ac:dyDescent="0.3"/>
    <row r="3931" s="1" customFormat="1" x14ac:dyDescent="0.3"/>
    <row r="3932" s="1" customFormat="1" x14ac:dyDescent="0.3"/>
    <row r="3933" s="1" customFormat="1" x14ac:dyDescent="0.3"/>
    <row r="3934" s="1" customFormat="1" x14ac:dyDescent="0.3"/>
    <row r="3935" s="1" customFormat="1" x14ac:dyDescent="0.3"/>
    <row r="3936" s="1" customFormat="1" x14ac:dyDescent="0.3"/>
    <row r="3937" s="1" customFormat="1" x14ac:dyDescent="0.3"/>
    <row r="3938" s="1" customFormat="1" x14ac:dyDescent="0.3"/>
    <row r="3939" s="1" customFormat="1" x14ac:dyDescent="0.3"/>
    <row r="3940" s="1" customFormat="1" x14ac:dyDescent="0.3"/>
    <row r="3941" s="1" customFormat="1" x14ac:dyDescent="0.3"/>
    <row r="3942" s="1" customFormat="1" x14ac:dyDescent="0.3"/>
    <row r="3943" s="1" customFormat="1" x14ac:dyDescent="0.3"/>
    <row r="3944" s="1" customFormat="1" x14ac:dyDescent="0.3"/>
    <row r="3945" s="1" customFormat="1" x14ac:dyDescent="0.3"/>
    <row r="3946" s="1" customFormat="1" x14ac:dyDescent="0.3"/>
    <row r="3947" s="1" customFormat="1" x14ac:dyDescent="0.3"/>
    <row r="3948" s="1" customFormat="1" x14ac:dyDescent="0.3"/>
    <row r="3949" s="1" customFormat="1" x14ac:dyDescent="0.3"/>
    <row r="3950" s="1" customFormat="1" x14ac:dyDescent="0.3"/>
    <row r="3951" s="1" customFormat="1" x14ac:dyDescent="0.3"/>
    <row r="3952" s="1" customFormat="1" x14ac:dyDescent="0.3"/>
    <row r="3953" s="1" customFormat="1" x14ac:dyDescent="0.3"/>
    <row r="3954" s="1" customFormat="1" x14ac:dyDescent="0.3"/>
    <row r="3955" s="1" customFormat="1" x14ac:dyDescent="0.3"/>
    <row r="3956" s="1" customFormat="1" x14ac:dyDescent="0.3"/>
    <row r="3957" s="1" customFormat="1" x14ac:dyDescent="0.3"/>
    <row r="3958" s="1" customFormat="1" x14ac:dyDescent="0.3"/>
    <row r="3959" s="1" customFormat="1" x14ac:dyDescent="0.3"/>
    <row r="3960" s="1" customFormat="1" x14ac:dyDescent="0.3"/>
    <row r="3961" s="1" customFormat="1" x14ac:dyDescent="0.3"/>
    <row r="3962" s="1" customFormat="1" x14ac:dyDescent="0.3"/>
    <row r="3963" s="1" customFormat="1" x14ac:dyDescent="0.3"/>
    <row r="3964" s="1" customFormat="1" x14ac:dyDescent="0.3"/>
    <row r="3965" s="1" customFormat="1" x14ac:dyDescent="0.3"/>
    <row r="3966" s="1" customFormat="1" x14ac:dyDescent="0.3"/>
    <row r="3967" s="1" customFormat="1" x14ac:dyDescent="0.3"/>
    <row r="3968" s="1" customFormat="1" x14ac:dyDescent="0.3"/>
    <row r="3969" s="1" customFormat="1" x14ac:dyDescent="0.3"/>
    <row r="3970" s="1" customFormat="1" x14ac:dyDescent="0.3"/>
    <row r="3971" s="1" customFormat="1" x14ac:dyDescent="0.3"/>
    <row r="3972" s="1" customFormat="1" x14ac:dyDescent="0.3"/>
    <row r="3973" s="1" customFormat="1" x14ac:dyDescent="0.3"/>
    <row r="3974" s="1" customFormat="1" x14ac:dyDescent="0.3"/>
    <row r="3975" s="1" customFormat="1" x14ac:dyDescent="0.3"/>
    <row r="3976" s="1" customFormat="1" x14ac:dyDescent="0.3"/>
    <row r="3977" s="1" customFormat="1" x14ac:dyDescent="0.3"/>
    <row r="3978" s="1" customFormat="1" x14ac:dyDescent="0.3"/>
    <row r="3979" s="1" customFormat="1" x14ac:dyDescent="0.3"/>
    <row r="3980" s="1" customFormat="1" x14ac:dyDescent="0.3"/>
    <row r="3981" s="1" customFormat="1" x14ac:dyDescent="0.3"/>
    <row r="3982" s="1" customFormat="1" x14ac:dyDescent="0.3"/>
    <row r="3983" s="1" customFormat="1" x14ac:dyDescent="0.3"/>
    <row r="3984" s="1" customFormat="1" x14ac:dyDescent="0.3"/>
    <row r="3985" s="1" customFormat="1" x14ac:dyDescent="0.3"/>
    <row r="3986" s="1" customFormat="1" x14ac:dyDescent="0.3"/>
    <row r="3987" s="1" customFormat="1" x14ac:dyDescent="0.3"/>
    <row r="3988" s="1" customFormat="1" x14ac:dyDescent="0.3"/>
    <row r="3989" s="1" customFormat="1" x14ac:dyDescent="0.3"/>
    <row r="3990" s="1" customFormat="1" x14ac:dyDescent="0.3"/>
    <row r="3991" s="1" customFormat="1" x14ac:dyDescent="0.3"/>
    <row r="3992" s="1" customFormat="1" x14ac:dyDescent="0.3"/>
    <row r="3993" s="1" customFormat="1" x14ac:dyDescent="0.3"/>
    <row r="3994" s="1" customFormat="1" x14ac:dyDescent="0.3"/>
    <row r="3995" s="1" customFormat="1" x14ac:dyDescent="0.3"/>
    <row r="3996" s="1" customFormat="1" x14ac:dyDescent="0.3"/>
    <row r="3997" s="1" customFormat="1" x14ac:dyDescent="0.3"/>
    <row r="3998" s="1" customFormat="1" x14ac:dyDescent="0.3"/>
    <row r="3999" s="1" customFormat="1" x14ac:dyDescent="0.3"/>
    <row r="4000" s="1" customFormat="1" x14ac:dyDescent="0.3"/>
    <row r="4001" s="1" customFormat="1" x14ac:dyDescent="0.3"/>
    <row r="4002" s="1" customFormat="1" x14ac:dyDescent="0.3"/>
    <row r="4003" s="1" customFormat="1" x14ac:dyDescent="0.3"/>
    <row r="4004" s="1" customFormat="1" x14ac:dyDescent="0.3"/>
    <row r="4005" s="1" customFormat="1" x14ac:dyDescent="0.3"/>
    <row r="4006" s="1" customFormat="1" x14ac:dyDescent="0.3"/>
    <row r="4007" s="1" customFormat="1" x14ac:dyDescent="0.3"/>
    <row r="4008" s="1" customFormat="1" x14ac:dyDescent="0.3"/>
    <row r="4009" s="1" customFormat="1" x14ac:dyDescent="0.3"/>
    <row r="4010" s="1" customFormat="1" x14ac:dyDescent="0.3"/>
    <row r="4011" s="1" customFormat="1" x14ac:dyDescent="0.3"/>
    <row r="4012" s="1" customFormat="1" x14ac:dyDescent="0.3"/>
    <row r="4013" s="1" customFormat="1" x14ac:dyDescent="0.3"/>
    <row r="4014" s="1" customFormat="1" x14ac:dyDescent="0.3"/>
    <row r="4015" s="1" customFormat="1" x14ac:dyDescent="0.3"/>
    <row r="4016" s="1" customFormat="1" x14ac:dyDescent="0.3"/>
    <row r="4017" s="1" customFormat="1" x14ac:dyDescent="0.3"/>
    <row r="4018" s="1" customFormat="1" x14ac:dyDescent="0.3"/>
    <row r="4019" s="1" customFormat="1" x14ac:dyDescent="0.3"/>
    <row r="4020" s="1" customFormat="1" x14ac:dyDescent="0.3"/>
    <row r="4021" s="1" customFormat="1" x14ac:dyDescent="0.3"/>
    <row r="4022" s="1" customFormat="1" x14ac:dyDescent="0.3"/>
    <row r="4023" s="1" customFormat="1" x14ac:dyDescent="0.3"/>
    <row r="4024" s="1" customFormat="1" x14ac:dyDescent="0.3"/>
    <row r="4025" s="1" customFormat="1" x14ac:dyDescent="0.3"/>
    <row r="4026" s="1" customFormat="1" x14ac:dyDescent="0.3"/>
    <row r="4027" s="1" customFormat="1" x14ac:dyDescent="0.3"/>
    <row r="4028" s="1" customFormat="1" x14ac:dyDescent="0.3"/>
    <row r="4029" s="1" customFormat="1" x14ac:dyDescent="0.3"/>
    <row r="4030" s="1" customFormat="1" x14ac:dyDescent="0.3"/>
    <row r="4031" s="1" customFormat="1" x14ac:dyDescent="0.3"/>
    <row r="4032" s="1" customFormat="1" x14ac:dyDescent="0.3"/>
    <row r="4033" s="1" customFormat="1" x14ac:dyDescent="0.3"/>
    <row r="4034" s="1" customFormat="1" x14ac:dyDescent="0.3"/>
    <row r="4035" s="1" customFormat="1" x14ac:dyDescent="0.3"/>
    <row r="4036" s="1" customFormat="1" x14ac:dyDescent="0.3"/>
    <row r="4037" s="1" customFormat="1" x14ac:dyDescent="0.3"/>
    <row r="4038" s="1" customFormat="1" x14ac:dyDescent="0.3"/>
    <row r="4039" s="1" customFormat="1" x14ac:dyDescent="0.3"/>
    <row r="4040" s="1" customFormat="1" x14ac:dyDescent="0.3"/>
    <row r="4041" s="1" customFormat="1" x14ac:dyDescent="0.3"/>
    <row r="4042" s="1" customFormat="1" x14ac:dyDescent="0.3"/>
    <row r="4043" s="1" customFormat="1" x14ac:dyDescent="0.3"/>
    <row r="4044" s="1" customFormat="1" x14ac:dyDescent="0.3"/>
    <row r="4045" s="1" customFormat="1" x14ac:dyDescent="0.3"/>
    <row r="4046" s="1" customFormat="1" x14ac:dyDescent="0.3"/>
    <row r="4047" s="1" customFormat="1" x14ac:dyDescent="0.3"/>
    <row r="4048" s="1" customFormat="1" x14ac:dyDescent="0.3"/>
    <row r="4049" s="1" customFormat="1" x14ac:dyDescent="0.3"/>
    <row r="4050" s="1" customFormat="1" x14ac:dyDescent="0.3"/>
    <row r="4051" s="1" customFormat="1" x14ac:dyDescent="0.3"/>
    <row r="4052" s="1" customFormat="1" x14ac:dyDescent="0.3"/>
    <row r="4053" s="1" customFormat="1" x14ac:dyDescent="0.3"/>
    <row r="4054" s="1" customFormat="1" x14ac:dyDescent="0.3"/>
    <row r="4055" s="1" customFormat="1" x14ac:dyDescent="0.3"/>
    <row r="4056" s="1" customFormat="1" x14ac:dyDescent="0.3"/>
    <row r="4057" s="1" customFormat="1" x14ac:dyDescent="0.3"/>
    <row r="4058" s="1" customFormat="1" x14ac:dyDescent="0.3"/>
    <row r="4059" s="1" customFormat="1" x14ac:dyDescent="0.3"/>
    <row r="4060" s="1" customFormat="1" x14ac:dyDescent="0.3"/>
    <row r="4061" s="1" customFormat="1" x14ac:dyDescent="0.3"/>
    <row r="4062" s="1" customFormat="1" x14ac:dyDescent="0.3"/>
    <row r="4063" s="1" customFormat="1" x14ac:dyDescent="0.3"/>
    <row r="4064" s="1" customFormat="1" x14ac:dyDescent="0.3"/>
    <row r="4065" s="1" customFormat="1" x14ac:dyDescent="0.3"/>
    <row r="4066" s="1" customFormat="1" x14ac:dyDescent="0.3"/>
    <row r="4067" s="1" customFormat="1" x14ac:dyDescent="0.3"/>
    <row r="4068" s="1" customFormat="1" x14ac:dyDescent="0.3"/>
    <row r="4069" s="1" customFormat="1" x14ac:dyDescent="0.3"/>
    <row r="4070" s="1" customFormat="1" x14ac:dyDescent="0.3"/>
    <row r="4071" s="1" customFormat="1" x14ac:dyDescent="0.3"/>
    <row r="4072" s="1" customFormat="1" x14ac:dyDescent="0.3"/>
    <row r="4073" s="1" customFormat="1" x14ac:dyDescent="0.3"/>
    <row r="4074" s="1" customFormat="1" x14ac:dyDescent="0.3"/>
    <row r="4075" s="1" customFormat="1" x14ac:dyDescent="0.3"/>
    <row r="4076" s="1" customFormat="1" x14ac:dyDescent="0.3"/>
    <row r="4077" s="1" customFormat="1" x14ac:dyDescent="0.3"/>
    <row r="4078" s="1" customFormat="1" x14ac:dyDescent="0.3"/>
    <row r="4079" s="1" customFormat="1" x14ac:dyDescent="0.3"/>
    <row r="4080" s="1" customFormat="1" x14ac:dyDescent="0.3"/>
    <row r="4081" s="1" customFormat="1" x14ac:dyDescent="0.3"/>
    <row r="4082" s="1" customFormat="1" x14ac:dyDescent="0.3"/>
    <row r="4083" s="1" customFormat="1" x14ac:dyDescent="0.3"/>
    <row r="4084" s="1" customFormat="1" x14ac:dyDescent="0.3"/>
    <row r="4085" s="1" customFormat="1" x14ac:dyDescent="0.3"/>
    <row r="4086" s="1" customFormat="1" x14ac:dyDescent="0.3"/>
    <row r="4087" s="1" customFormat="1" x14ac:dyDescent="0.3"/>
    <row r="4088" s="1" customFormat="1" x14ac:dyDescent="0.3"/>
    <row r="4089" s="1" customFormat="1" x14ac:dyDescent="0.3"/>
    <row r="4090" s="1" customFormat="1" x14ac:dyDescent="0.3"/>
    <row r="4091" s="1" customFormat="1" x14ac:dyDescent="0.3"/>
    <row r="4092" s="1" customFormat="1" x14ac:dyDescent="0.3"/>
    <row r="4093" s="1" customFormat="1" x14ac:dyDescent="0.3"/>
    <row r="4094" s="1" customFormat="1" x14ac:dyDescent="0.3"/>
    <row r="4095" s="1" customFormat="1" x14ac:dyDescent="0.3"/>
    <row r="4096" s="1" customFormat="1" x14ac:dyDescent="0.3"/>
    <row r="4097" s="1" customFormat="1" x14ac:dyDescent="0.3"/>
    <row r="4098" s="1" customFormat="1" x14ac:dyDescent="0.3"/>
    <row r="4099" s="1" customFormat="1" x14ac:dyDescent="0.3"/>
    <row r="4100" s="1" customFormat="1" x14ac:dyDescent="0.3"/>
    <row r="4101" s="1" customFormat="1" x14ac:dyDescent="0.3"/>
    <row r="4102" s="1" customFormat="1" x14ac:dyDescent="0.3"/>
    <row r="4103" s="1" customFormat="1" x14ac:dyDescent="0.3"/>
    <row r="4104" s="1" customFormat="1" x14ac:dyDescent="0.3"/>
    <row r="4105" s="1" customFormat="1" x14ac:dyDescent="0.3"/>
    <row r="4106" s="1" customFormat="1" x14ac:dyDescent="0.3"/>
    <row r="4107" s="1" customFormat="1" x14ac:dyDescent="0.3"/>
    <row r="4108" s="1" customFormat="1" x14ac:dyDescent="0.3"/>
    <row r="4109" s="1" customFormat="1" x14ac:dyDescent="0.3"/>
    <row r="4110" s="1" customFormat="1" x14ac:dyDescent="0.3"/>
    <row r="4111" s="1" customFormat="1" x14ac:dyDescent="0.3"/>
    <row r="4112" s="1" customFormat="1" x14ac:dyDescent="0.3"/>
    <row r="4113" s="1" customFormat="1" x14ac:dyDescent="0.3"/>
    <row r="4114" s="1" customFormat="1" x14ac:dyDescent="0.3"/>
    <row r="4115" s="1" customFormat="1" x14ac:dyDescent="0.3"/>
    <row r="4116" s="1" customFormat="1" x14ac:dyDescent="0.3"/>
    <row r="4117" s="1" customFormat="1" x14ac:dyDescent="0.3"/>
    <row r="4118" s="1" customFormat="1" x14ac:dyDescent="0.3"/>
    <row r="4119" s="1" customFormat="1" x14ac:dyDescent="0.3"/>
    <row r="4120" s="1" customFormat="1" x14ac:dyDescent="0.3"/>
    <row r="4121" s="1" customFormat="1" x14ac:dyDescent="0.3"/>
    <row r="4122" s="1" customFormat="1" x14ac:dyDescent="0.3"/>
    <row r="4123" s="1" customFormat="1" x14ac:dyDescent="0.3"/>
    <row r="4124" s="1" customFormat="1" x14ac:dyDescent="0.3"/>
    <row r="4125" s="1" customFormat="1" x14ac:dyDescent="0.3"/>
    <row r="4126" s="1" customFormat="1" x14ac:dyDescent="0.3"/>
    <row r="4127" s="1" customFormat="1" x14ac:dyDescent="0.3"/>
    <row r="4128" s="1" customFormat="1" x14ac:dyDescent="0.3"/>
    <row r="4129" s="1" customFormat="1" x14ac:dyDescent="0.3"/>
    <row r="4130" s="1" customFormat="1" x14ac:dyDescent="0.3"/>
    <row r="4131" s="1" customFormat="1" x14ac:dyDescent="0.3"/>
    <row r="4132" s="1" customFormat="1" x14ac:dyDescent="0.3"/>
    <row r="4133" s="1" customFormat="1" x14ac:dyDescent="0.3"/>
    <row r="4134" s="1" customFormat="1" x14ac:dyDescent="0.3"/>
    <row r="4135" s="1" customFormat="1" x14ac:dyDescent="0.3"/>
    <row r="4136" s="1" customFormat="1" x14ac:dyDescent="0.3"/>
    <row r="4137" s="1" customFormat="1" x14ac:dyDescent="0.3"/>
    <row r="4138" s="1" customFormat="1" x14ac:dyDescent="0.3"/>
    <row r="4139" s="1" customFormat="1" x14ac:dyDescent="0.3"/>
    <row r="4140" s="1" customFormat="1" x14ac:dyDescent="0.3"/>
    <row r="4141" s="1" customFormat="1" x14ac:dyDescent="0.3"/>
    <row r="4142" s="1" customFormat="1" x14ac:dyDescent="0.3"/>
    <row r="4143" s="1" customFormat="1" x14ac:dyDescent="0.3"/>
    <row r="4144" s="1" customFormat="1" x14ac:dyDescent="0.3"/>
    <row r="4145" s="1" customFormat="1" x14ac:dyDescent="0.3"/>
    <row r="4146" s="1" customFormat="1" x14ac:dyDescent="0.3"/>
    <row r="4147" s="1" customFormat="1" x14ac:dyDescent="0.3"/>
    <row r="4148" s="1" customFormat="1" x14ac:dyDescent="0.3"/>
    <row r="4149" s="1" customFormat="1" x14ac:dyDescent="0.3"/>
    <row r="4150" s="1" customFormat="1" x14ac:dyDescent="0.3"/>
    <row r="4151" s="1" customFormat="1" x14ac:dyDescent="0.3"/>
    <row r="4152" s="1" customFormat="1" x14ac:dyDescent="0.3"/>
    <row r="4153" s="1" customFormat="1" x14ac:dyDescent="0.3"/>
    <row r="4154" s="1" customFormat="1" x14ac:dyDescent="0.3"/>
    <row r="4155" s="1" customFormat="1" x14ac:dyDescent="0.3"/>
    <row r="4156" s="1" customFormat="1" x14ac:dyDescent="0.3"/>
    <row r="4157" s="1" customFormat="1" x14ac:dyDescent="0.3"/>
    <row r="4158" s="1" customFormat="1" x14ac:dyDescent="0.3"/>
    <row r="4159" s="1" customFormat="1" x14ac:dyDescent="0.3"/>
    <row r="4160" s="1" customFormat="1" x14ac:dyDescent="0.3"/>
    <row r="4161" s="1" customFormat="1" x14ac:dyDescent="0.3"/>
    <row r="4162" s="1" customFormat="1" x14ac:dyDescent="0.3"/>
    <row r="4163" s="1" customFormat="1" x14ac:dyDescent="0.3"/>
    <row r="4164" s="1" customFormat="1" x14ac:dyDescent="0.3"/>
    <row r="4165" s="1" customFormat="1" x14ac:dyDescent="0.3"/>
    <row r="4166" s="1" customFormat="1" x14ac:dyDescent="0.3"/>
    <row r="4167" s="1" customFormat="1" x14ac:dyDescent="0.3"/>
    <row r="4168" s="1" customFormat="1" x14ac:dyDescent="0.3"/>
    <row r="4169" s="1" customFormat="1" x14ac:dyDescent="0.3"/>
    <row r="4170" s="1" customFormat="1" x14ac:dyDescent="0.3"/>
    <row r="4171" s="1" customFormat="1" x14ac:dyDescent="0.3"/>
    <row r="4172" s="1" customFormat="1" x14ac:dyDescent="0.3"/>
    <row r="4173" s="1" customFormat="1" x14ac:dyDescent="0.3"/>
    <row r="4174" s="1" customFormat="1" x14ac:dyDescent="0.3"/>
    <row r="4175" s="1" customFormat="1" x14ac:dyDescent="0.3"/>
    <row r="4176" s="1" customFormat="1" x14ac:dyDescent="0.3"/>
    <row r="4177" s="1" customFormat="1" x14ac:dyDescent="0.3"/>
    <row r="4178" s="1" customFormat="1" x14ac:dyDescent="0.3"/>
    <row r="4179" s="1" customFormat="1" x14ac:dyDescent="0.3"/>
    <row r="4180" s="1" customFormat="1" x14ac:dyDescent="0.3"/>
    <row r="4181" s="1" customFormat="1" x14ac:dyDescent="0.3"/>
    <row r="4182" s="1" customFormat="1" x14ac:dyDescent="0.3"/>
    <row r="4183" s="1" customFormat="1" x14ac:dyDescent="0.3"/>
    <row r="4184" s="1" customFormat="1" x14ac:dyDescent="0.3"/>
    <row r="4185" s="1" customFormat="1" x14ac:dyDescent="0.3"/>
    <row r="4186" s="1" customFormat="1" x14ac:dyDescent="0.3"/>
    <row r="4187" s="1" customFormat="1" x14ac:dyDescent="0.3"/>
    <row r="4188" s="1" customFormat="1" x14ac:dyDescent="0.3"/>
    <row r="4189" s="1" customFormat="1" x14ac:dyDescent="0.3"/>
    <row r="4190" s="1" customFormat="1" x14ac:dyDescent="0.3"/>
    <row r="4191" s="1" customFormat="1" x14ac:dyDescent="0.3"/>
    <row r="4192" s="1" customFormat="1" x14ac:dyDescent="0.3"/>
    <row r="4193" s="1" customFormat="1" x14ac:dyDescent="0.3"/>
    <row r="4194" s="1" customFormat="1" x14ac:dyDescent="0.3"/>
    <row r="4195" s="1" customFormat="1" x14ac:dyDescent="0.3"/>
    <row r="4196" s="1" customFormat="1" x14ac:dyDescent="0.3"/>
    <row r="4197" s="1" customFormat="1" x14ac:dyDescent="0.3"/>
    <row r="4198" s="1" customFormat="1" x14ac:dyDescent="0.3"/>
    <row r="4199" s="1" customFormat="1" x14ac:dyDescent="0.3"/>
    <row r="4200" s="1" customFormat="1" x14ac:dyDescent="0.3"/>
    <row r="4201" s="1" customFormat="1" x14ac:dyDescent="0.3"/>
    <row r="4202" s="1" customFormat="1" x14ac:dyDescent="0.3"/>
    <row r="4203" s="1" customFormat="1" x14ac:dyDescent="0.3"/>
    <row r="4204" s="1" customFormat="1" x14ac:dyDescent="0.3"/>
    <row r="4205" s="1" customFormat="1" x14ac:dyDescent="0.3"/>
    <row r="4206" s="1" customFormat="1" x14ac:dyDescent="0.3"/>
    <row r="4207" s="1" customFormat="1" x14ac:dyDescent="0.3"/>
    <row r="4208" s="1" customFormat="1" x14ac:dyDescent="0.3"/>
    <row r="4209" s="1" customFormat="1" x14ac:dyDescent="0.3"/>
    <row r="4210" s="1" customFormat="1" x14ac:dyDescent="0.3"/>
    <row r="4211" s="1" customFormat="1" x14ac:dyDescent="0.3"/>
    <row r="4212" s="1" customFormat="1" x14ac:dyDescent="0.3"/>
    <row r="4213" s="1" customFormat="1" x14ac:dyDescent="0.3"/>
    <row r="4214" s="1" customFormat="1" x14ac:dyDescent="0.3"/>
    <row r="4215" s="1" customFormat="1" x14ac:dyDescent="0.3"/>
    <row r="4216" s="1" customFormat="1" x14ac:dyDescent="0.3"/>
    <row r="4217" s="1" customFormat="1" x14ac:dyDescent="0.3"/>
    <row r="4218" s="1" customFormat="1" x14ac:dyDescent="0.3"/>
    <row r="4219" s="1" customFormat="1" x14ac:dyDescent="0.3"/>
    <row r="4220" s="1" customFormat="1" x14ac:dyDescent="0.3"/>
    <row r="4221" s="1" customFormat="1" x14ac:dyDescent="0.3"/>
    <row r="4222" s="1" customFormat="1" x14ac:dyDescent="0.3"/>
    <row r="4223" s="1" customFormat="1" x14ac:dyDescent="0.3"/>
    <row r="4224" s="1" customFormat="1" x14ac:dyDescent="0.3"/>
    <row r="4225" s="1" customFormat="1" x14ac:dyDescent="0.3"/>
    <row r="4226" s="1" customFormat="1" x14ac:dyDescent="0.3"/>
    <row r="4227" s="1" customFormat="1" x14ac:dyDescent="0.3"/>
    <row r="4228" s="1" customFormat="1" x14ac:dyDescent="0.3"/>
    <row r="4229" s="1" customFormat="1" x14ac:dyDescent="0.3"/>
    <row r="4230" s="1" customFormat="1" x14ac:dyDescent="0.3"/>
    <row r="4231" s="1" customFormat="1" x14ac:dyDescent="0.3"/>
    <row r="4232" s="1" customFormat="1" x14ac:dyDescent="0.3"/>
    <row r="4233" s="1" customFormat="1" x14ac:dyDescent="0.3"/>
    <row r="4234" s="1" customFormat="1" x14ac:dyDescent="0.3"/>
    <row r="4235" s="1" customFormat="1" x14ac:dyDescent="0.3"/>
    <row r="4236" s="1" customFormat="1" x14ac:dyDescent="0.3"/>
    <row r="4237" s="1" customFormat="1" x14ac:dyDescent="0.3"/>
    <row r="4238" s="1" customFormat="1" x14ac:dyDescent="0.3"/>
    <row r="4239" s="1" customFormat="1" x14ac:dyDescent="0.3"/>
    <row r="4240" s="1" customFormat="1" x14ac:dyDescent="0.3"/>
    <row r="4241" s="1" customFormat="1" x14ac:dyDescent="0.3"/>
    <row r="4242" s="1" customFormat="1" x14ac:dyDescent="0.3"/>
    <row r="4243" s="1" customFormat="1" x14ac:dyDescent="0.3"/>
    <row r="4244" s="1" customFormat="1" x14ac:dyDescent="0.3"/>
    <row r="4245" s="1" customFormat="1" x14ac:dyDescent="0.3"/>
    <row r="4246" s="1" customFormat="1" x14ac:dyDescent="0.3"/>
    <row r="4247" s="1" customFormat="1" x14ac:dyDescent="0.3"/>
    <row r="4248" s="1" customFormat="1" x14ac:dyDescent="0.3"/>
    <row r="4249" s="1" customFormat="1" x14ac:dyDescent="0.3"/>
    <row r="4250" s="1" customFormat="1" x14ac:dyDescent="0.3"/>
    <row r="4251" s="1" customFormat="1" x14ac:dyDescent="0.3"/>
    <row r="4252" s="1" customFormat="1" x14ac:dyDescent="0.3"/>
    <row r="4253" s="1" customFormat="1" x14ac:dyDescent="0.3"/>
    <row r="4254" s="1" customFormat="1" x14ac:dyDescent="0.3"/>
    <row r="4255" s="1" customFormat="1" x14ac:dyDescent="0.3"/>
    <row r="4256" s="1" customFormat="1" x14ac:dyDescent="0.3"/>
    <row r="4257" s="1" customFormat="1" x14ac:dyDescent="0.3"/>
    <row r="4258" s="1" customFormat="1" x14ac:dyDescent="0.3"/>
    <row r="4259" s="1" customFormat="1" x14ac:dyDescent="0.3"/>
    <row r="4260" s="1" customFormat="1" x14ac:dyDescent="0.3"/>
    <row r="4261" s="1" customFormat="1" x14ac:dyDescent="0.3"/>
    <row r="4262" s="1" customFormat="1" x14ac:dyDescent="0.3"/>
    <row r="4263" s="1" customFormat="1" x14ac:dyDescent="0.3"/>
    <row r="4264" s="1" customFormat="1" x14ac:dyDescent="0.3"/>
    <row r="4265" s="1" customFormat="1" x14ac:dyDescent="0.3"/>
    <row r="4266" s="1" customFormat="1" x14ac:dyDescent="0.3"/>
    <row r="4267" s="1" customFormat="1" x14ac:dyDescent="0.3"/>
    <row r="4268" s="1" customFormat="1" x14ac:dyDescent="0.3"/>
    <row r="4269" s="1" customFormat="1" x14ac:dyDescent="0.3"/>
    <row r="4270" s="1" customFormat="1" x14ac:dyDescent="0.3"/>
    <row r="4271" s="1" customFormat="1" x14ac:dyDescent="0.3"/>
    <row r="4272" s="1" customFormat="1" x14ac:dyDescent="0.3"/>
    <row r="4273" s="1" customFormat="1" x14ac:dyDescent="0.3"/>
    <row r="4274" s="1" customFormat="1" x14ac:dyDescent="0.3"/>
    <row r="4275" s="1" customFormat="1" x14ac:dyDescent="0.3"/>
    <row r="4276" s="1" customFormat="1" x14ac:dyDescent="0.3"/>
    <row r="4277" s="1" customFormat="1" x14ac:dyDescent="0.3"/>
    <row r="4278" s="1" customFormat="1" x14ac:dyDescent="0.3"/>
    <row r="4279" s="1" customFormat="1" x14ac:dyDescent="0.3"/>
    <row r="4280" s="1" customFormat="1" x14ac:dyDescent="0.3"/>
    <row r="4281" s="1" customFormat="1" x14ac:dyDescent="0.3"/>
    <row r="4282" s="1" customFormat="1" x14ac:dyDescent="0.3"/>
    <row r="4283" s="1" customFormat="1" x14ac:dyDescent="0.3"/>
    <row r="4284" s="1" customFormat="1" x14ac:dyDescent="0.3"/>
    <row r="4285" s="1" customFormat="1" x14ac:dyDescent="0.3"/>
    <row r="4286" s="1" customFormat="1" x14ac:dyDescent="0.3"/>
    <row r="4287" s="1" customFormat="1" x14ac:dyDescent="0.3"/>
    <row r="4288" s="1" customFormat="1" x14ac:dyDescent="0.3"/>
    <row r="4289" s="1" customFormat="1" x14ac:dyDescent="0.3"/>
    <row r="4290" s="1" customFormat="1" x14ac:dyDescent="0.3"/>
    <row r="4291" s="1" customFormat="1" x14ac:dyDescent="0.3"/>
    <row r="4292" s="1" customFormat="1" x14ac:dyDescent="0.3"/>
    <row r="4293" s="1" customFormat="1" x14ac:dyDescent="0.3"/>
    <row r="4294" s="1" customFormat="1" x14ac:dyDescent="0.3"/>
    <row r="4295" s="1" customFormat="1" x14ac:dyDescent="0.3"/>
    <row r="4296" s="1" customFormat="1" x14ac:dyDescent="0.3"/>
    <row r="4297" s="1" customFormat="1" x14ac:dyDescent="0.3"/>
    <row r="4298" s="1" customFormat="1" x14ac:dyDescent="0.3"/>
    <row r="4299" s="1" customFormat="1" x14ac:dyDescent="0.3"/>
    <row r="4300" s="1" customFormat="1" x14ac:dyDescent="0.3"/>
    <row r="4301" s="1" customFormat="1" x14ac:dyDescent="0.3"/>
    <row r="4302" s="1" customFormat="1" x14ac:dyDescent="0.3"/>
    <row r="4303" s="1" customFormat="1" x14ac:dyDescent="0.3"/>
    <row r="4304" s="1" customFormat="1" x14ac:dyDescent="0.3"/>
    <row r="4305" s="1" customFormat="1" x14ac:dyDescent="0.3"/>
    <row r="4306" s="1" customFormat="1" x14ac:dyDescent="0.3"/>
    <row r="4307" s="1" customFormat="1" x14ac:dyDescent="0.3"/>
    <row r="4308" s="1" customFormat="1" x14ac:dyDescent="0.3"/>
    <row r="4309" s="1" customFormat="1" x14ac:dyDescent="0.3"/>
    <row r="4310" s="1" customFormat="1" x14ac:dyDescent="0.3"/>
    <row r="4311" s="1" customFormat="1" x14ac:dyDescent="0.3"/>
    <row r="4312" s="1" customFormat="1" x14ac:dyDescent="0.3"/>
    <row r="4313" s="1" customFormat="1" x14ac:dyDescent="0.3"/>
    <row r="4314" s="1" customFormat="1" x14ac:dyDescent="0.3"/>
    <row r="4315" s="1" customFormat="1" x14ac:dyDescent="0.3"/>
    <row r="4316" s="1" customFormat="1" x14ac:dyDescent="0.3"/>
    <row r="4317" s="1" customFormat="1" x14ac:dyDescent="0.3"/>
    <row r="4318" s="1" customFormat="1" x14ac:dyDescent="0.3"/>
    <row r="4319" s="1" customFormat="1" x14ac:dyDescent="0.3"/>
    <row r="4320" s="1" customFormat="1" x14ac:dyDescent="0.3"/>
    <row r="4321" s="1" customFormat="1" x14ac:dyDescent="0.3"/>
    <row r="4322" s="1" customFormat="1" x14ac:dyDescent="0.3"/>
    <row r="4323" s="1" customFormat="1" x14ac:dyDescent="0.3"/>
    <row r="4324" s="1" customFormat="1" x14ac:dyDescent="0.3"/>
    <row r="4325" s="1" customFormat="1" x14ac:dyDescent="0.3"/>
    <row r="4326" s="1" customFormat="1" x14ac:dyDescent="0.3"/>
    <row r="4327" s="1" customFormat="1" x14ac:dyDescent="0.3"/>
    <row r="4328" s="1" customFormat="1" x14ac:dyDescent="0.3"/>
    <row r="4329" s="1" customFormat="1" x14ac:dyDescent="0.3"/>
    <row r="4330" s="1" customFormat="1" x14ac:dyDescent="0.3"/>
    <row r="4331" s="1" customFormat="1" x14ac:dyDescent="0.3"/>
    <row r="4332" s="1" customFormat="1" x14ac:dyDescent="0.3"/>
    <row r="4333" s="1" customFormat="1" x14ac:dyDescent="0.3"/>
    <row r="4334" s="1" customFormat="1" x14ac:dyDescent="0.3"/>
    <row r="4335" s="1" customFormat="1" x14ac:dyDescent="0.3"/>
    <row r="4336" s="1" customFormat="1" x14ac:dyDescent="0.3"/>
    <row r="4337" s="1" customFormat="1" x14ac:dyDescent="0.3"/>
    <row r="4338" s="1" customFormat="1" x14ac:dyDescent="0.3"/>
    <row r="4339" s="1" customFormat="1" x14ac:dyDescent="0.3"/>
    <row r="4340" s="1" customFormat="1" x14ac:dyDescent="0.3"/>
    <row r="4341" s="1" customFormat="1" x14ac:dyDescent="0.3"/>
    <row r="4342" s="1" customFormat="1" x14ac:dyDescent="0.3"/>
    <row r="4343" s="1" customFormat="1" x14ac:dyDescent="0.3"/>
    <row r="4344" s="1" customFormat="1" x14ac:dyDescent="0.3"/>
    <row r="4345" s="1" customFormat="1" x14ac:dyDescent="0.3"/>
    <row r="4346" s="1" customFormat="1" x14ac:dyDescent="0.3"/>
    <row r="4347" s="1" customFormat="1" x14ac:dyDescent="0.3"/>
    <row r="4348" s="1" customFormat="1" x14ac:dyDescent="0.3"/>
    <row r="4349" s="1" customFormat="1" x14ac:dyDescent="0.3"/>
    <row r="4350" s="1" customFormat="1" x14ac:dyDescent="0.3"/>
    <row r="4351" s="1" customFormat="1" x14ac:dyDescent="0.3"/>
    <row r="4352" s="1" customFormat="1" x14ac:dyDescent="0.3"/>
    <row r="4353" s="1" customFormat="1" x14ac:dyDescent="0.3"/>
    <row r="4354" s="1" customFormat="1" x14ac:dyDescent="0.3"/>
    <row r="4355" s="1" customFormat="1" x14ac:dyDescent="0.3"/>
    <row r="4356" s="1" customFormat="1" x14ac:dyDescent="0.3"/>
    <row r="4357" s="1" customFormat="1" x14ac:dyDescent="0.3"/>
    <row r="4358" s="1" customFormat="1" x14ac:dyDescent="0.3"/>
    <row r="4359" s="1" customFormat="1" x14ac:dyDescent="0.3"/>
    <row r="4360" s="1" customFormat="1" x14ac:dyDescent="0.3"/>
    <row r="4361" s="1" customFormat="1" x14ac:dyDescent="0.3"/>
    <row r="4362" s="1" customFormat="1" x14ac:dyDescent="0.3"/>
    <row r="4363" s="1" customFormat="1" x14ac:dyDescent="0.3"/>
    <row r="4364" s="1" customFormat="1" x14ac:dyDescent="0.3"/>
    <row r="4365" s="1" customFormat="1" x14ac:dyDescent="0.3"/>
    <row r="4366" s="1" customFormat="1" x14ac:dyDescent="0.3"/>
    <row r="4367" s="1" customFormat="1" x14ac:dyDescent="0.3"/>
    <row r="4368" s="1" customFormat="1" x14ac:dyDescent="0.3"/>
    <row r="4369" s="1" customFormat="1" x14ac:dyDescent="0.3"/>
    <row r="4370" s="1" customFormat="1" x14ac:dyDescent="0.3"/>
    <row r="4371" s="1" customFormat="1" x14ac:dyDescent="0.3"/>
    <row r="4372" s="1" customFormat="1" x14ac:dyDescent="0.3"/>
    <row r="4373" s="1" customFormat="1" x14ac:dyDescent="0.3"/>
    <row r="4374" s="1" customFormat="1" x14ac:dyDescent="0.3"/>
    <row r="4375" s="1" customFormat="1" x14ac:dyDescent="0.3"/>
    <row r="4376" s="1" customFormat="1" x14ac:dyDescent="0.3"/>
    <row r="4377" s="1" customFormat="1" x14ac:dyDescent="0.3"/>
    <row r="4378" s="1" customFormat="1" x14ac:dyDescent="0.3"/>
    <row r="4379" s="1" customFormat="1" x14ac:dyDescent="0.3"/>
    <row r="4380" s="1" customFormat="1" x14ac:dyDescent="0.3"/>
    <row r="4381" s="1" customFormat="1" x14ac:dyDescent="0.3"/>
    <row r="4382" s="1" customFormat="1" x14ac:dyDescent="0.3"/>
    <row r="4383" s="1" customFormat="1" x14ac:dyDescent="0.3"/>
    <row r="4384" s="1" customFormat="1" x14ac:dyDescent="0.3"/>
    <row r="4385" s="1" customFormat="1" x14ac:dyDescent="0.3"/>
    <row r="4386" s="1" customFormat="1" x14ac:dyDescent="0.3"/>
    <row r="4387" s="1" customFormat="1" x14ac:dyDescent="0.3"/>
    <row r="4388" s="1" customFormat="1" x14ac:dyDescent="0.3"/>
    <row r="4389" s="1" customFormat="1" x14ac:dyDescent="0.3"/>
    <row r="4390" s="1" customFormat="1" x14ac:dyDescent="0.3"/>
    <row r="4391" s="1" customFormat="1" x14ac:dyDescent="0.3"/>
    <row r="4392" s="1" customFormat="1" x14ac:dyDescent="0.3"/>
    <row r="4393" s="1" customFormat="1" x14ac:dyDescent="0.3"/>
    <row r="4394" s="1" customFormat="1" x14ac:dyDescent="0.3"/>
    <row r="4395" s="1" customFormat="1" x14ac:dyDescent="0.3"/>
    <row r="4396" s="1" customFormat="1" x14ac:dyDescent="0.3"/>
    <row r="4397" s="1" customFormat="1" x14ac:dyDescent="0.3"/>
    <row r="4398" s="1" customFormat="1" x14ac:dyDescent="0.3"/>
    <row r="4399" s="1" customFormat="1" x14ac:dyDescent="0.3"/>
    <row r="4400" s="1" customFormat="1" x14ac:dyDescent="0.3"/>
    <row r="4401" s="1" customFormat="1" x14ac:dyDescent="0.3"/>
    <row r="4402" s="1" customFormat="1" x14ac:dyDescent="0.3"/>
    <row r="4403" s="1" customFormat="1" x14ac:dyDescent="0.3"/>
    <row r="4404" s="1" customFormat="1" x14ac:dyDescent="0.3"/>
    <row r="4405" s="1" customFormat="1" x14ac:dyDescent="0.3"/>
    <row r="4406" s="1" customFormat="1" x14ac:dyDescent="0.3"/>
    <row r="4407" s="1" customFormat="1" x14ac:dyDescent="0.3"/>
    <row r="4408" s="1" customFormat="1" x14ac:dyDescent="0.3"/>
    <row r="4409" s="1" customFormat="1" x14ac:dyDescent="0.3"/>
    <row r="4410" s="1" customFormat="1" x14ac:dyDescent="0.3"/>
    <row r="4411" s="1" customFormat="1" x14ac:dyDescent="0.3"/>
    <row r="4412" s="1" customFormat="1" x14ac:dyDescent="0.3"/>
    <row r="4413" s="1" customFormat="1" x14ac:dyDescent="0.3"/>
    <row r="4414" s="1" customFormat="1" x14ac:dyDescent="0.3"/>
    <row r="4415" s="1" customFormat="1" x14ac:dyDescent="0.3"/>
    <row r="4416" s="1" customFormat="1" x14ac:dyDescent="0.3"/>
    <row r="4417" s="1" customFormat="1" x14ac:dyDescent="0.3"/>
    <row r="4418" s="1" customFormat="1" x14ac:dyDescent="0.3"/>
    <row r="4419" s="1" customFormat="1" x14ac:dyDescent="0.3"/>
    <row r="4420" s="1" customFormat="1" x14ac:dyDescent="0.3"/>
    <row r="4421" s="1" customFormat="1" x14ac:dyDescent="0.3"/>
    <row r="4422" s="1" customFormat="1" x14ac:dyDescent="0.3"/>
    <row r="4423" s="1" customFormat="1" x14ac:dyDescent="0.3"/>
    <row r="4424" s="1" customFormat="1" x14ac:dyDescent="0.3"/>
    <row r="4425" s="1" customFormat="1" x14ac:dyDescent="0.3"/>
    <row r="4426" s="1" customFormat="1" x14ac:dyDescent="0.3"/>
    <row r="4427" s="1" customFormat="1" x14ac:dyDescent="0.3"/>
    <row r="4428" s="1" customFormat="1" x14ac:dyDescent="0.3"/>
    <row r="4429" s="1" customFormat="1" x14ac:dyDescent="0.3"/>
    <row r="4430" s="1" customFormat="1" x14ac:dyDescent="0.3"/>
    <row r="4431" s="1" customFormat="1" x14ac:dyDescent="0.3"/>
    <row r="4432" s="1" customFormat="1" x14ac:dyDescent="0.3"/>
    <row r="4433" s="1" customFormat="1" x14ac:dyDescent="0.3"/>
    <row r="4434" s="1" customFormat="1" x14ac:dyDescent="0.3"/>
    <row r="4435" s="1" customFormat="1" x14ac:dyDescent="0.3"/>
    <row r="4436" s="1" customFormat="1" x14ac:dyDescent="0.3"/>
    <row r="4437" s="1" customFormat="1" x14ac:dyDescent="0.3"/>
    <row r="4438" s="1" customFormat="1" x14ac:dyDescent="0.3"/>
    <row r="4439" s="1" customFormat="1" x14ac:dyDescent="0.3"/>
    <row r="4440" s="1" customFormat="1" x14ac:dyDescent="0.3"/>
    <row r="4441" s="1" customFormat="1" x14ac:dyDescent="0.3"/>
    <row r="4442" s="1" customFormat="1" x14ac:dyDescent="0.3"/>
    <row r="4443" s="1" customFormat="1" x14ac:dyDescent="0.3"/>
    <row r="4444" s="1" customFormat="1" x14ac:dyDescent="0.3"/>
    <row r="4445" s="1" customFormat="1" x14ac:dyDescent="0.3"/>
    <row r="4446" s="1" customFormat="1" x14ac:dyDescent="0.3"/>
    <row r="4447" s="1" customFormat="1" x14ac:dyDescent="0.3"/>
    <row r="4448" s="1" customFormat="1" x14ac:dyDescent="0.3"/>
    <row r="4449" s="1" customFormat="1" x14ac:dyDescent="0.3"/>
    <row r="4450" s="1" customFormat="1" x14ac:dyDescent="0.3"/>
    <row r="4451" s="1" customFormat="1" x14ac:dyDescent="0.3"/>
    <row r="4452" s="1" customFormat="1" x14ac:dyDescent="0.3"/>
    <row r="4453" s="1" customFormat="1" x14ac:dyDescent="0.3"/>
    <row r="4454" s="1" customFormat="1" x14ac:dyDescent="0.3"/>
    <row r="4455" s="1" customFormat="1" x14ac:dyDescent="0.3"/>
    <row r="4456" s="1" customFormat="1" x14ac:dyDescent="0.3"/>
    <row r="4457" s="1" customFormat="1" x14ac:dyDescent="0.3"/>
    <row r="4458" s="1" customFormat="1" x14ac:dyDescent="0.3"/>
    <row r="4459" s="1" customFormat="1" x14ac:dyDescent="0.3"/>
    <row r="4460" s="1" customFormat="1" x14ac:dyDescent="0.3"/>
    <row r="4461" s="1" customFormat="1" x14ac:dyDescent="0.3"/>
    <row r="4462" s="1" customFormat="1" x14ac:dyDescent="0.3"/>
    <row r="4463" s="1" customFormat="1" x14ac:dyDescent="0.3"/>
    <row r="4464" s="1" customFormat="1" x14ac:dyDescent="0.3"/>
    <row r="4465" s="1" customFormat="1" x14ac:dyDescent="0.3"/>
    <row r="4466" s="1" customFormat="1" x14ac:dyDescent="0.3"/>
    <row r="4467" s="1" customFormat="1" x14ac:dyDescent="0.3"/>
    <row r="4468" s="1" customFormat="1" x14ac:dyDescent="0.3"/>
    <row r="4469" s="1" customFormat="1" x14ac:dyDescent="0.3"/>
    <row r="4470" s="1" customFormat="1" x14ac:dyDescent="0.3"/>
    <row r="4471" s="1" customFormat="1" x14ac:dyDescent="0.3"/>
    <row r="4472" s="1" customFormat="1" x14ac:dyDescent="0.3"/>
    <row r="4473" s="1" customFormat="1" x14ac:dyDescent="0.3"/>
    <row r="4474" s="1" customFormat="1" x14ac:dyDescent="0.3"/>
    <row r="4475" s="1" customFormat="1" x14ac:dyDescent="0.3"/>
    <row r="4476" s="1" customFormat="1" x14ac:dyDescent="0.3"/>
    <row r="4477" s="1" customFormat="1" x14ac:dyDescent="0.3"/>
    <row r="4478" s="1" customFormat="1" x14ac:dyDescent="0.3"/>
    <row r="4479" s="1" customFormat="1" x14ac:dyDescent="0.3"/>
    <row r="4480" s="1" customFormat="1" x14ac:dyDescent="0.3"/>
    <row r="4481" s="1" customFormat="1" x14ac:dyDescent="0.3"/>
    <row r="4482" s="1" customFormat="1" x14ac:dyDescent="0.3"/>
    <row r="4483" s="1" customFormat="1" x14ac:dyDescent="0.3"/>
    <row r="4484" s="1" customFormat="1" x14ac:dyDescent="0.3"/>
    <row r="4485" s="1" customFormat="1" x14ac:dyDescent="0.3"/>
    <row r="4486" s="1" customFormat="1" x14ac:dyDescent="0.3"/>
    <row r="4487" s="1" customFormat="1" x14ac:dyDescent="0.3"/>
    <row r="4488" s="1" customFormat="1" x14ac:dyDescent="0.3"/>
    <row r="4489" s="1" customFormat="1" x14ac:dyDescent="0.3"/>
    <row r="4490" s="1" customFormat="1" x14ac:dyDescent="0.3"/>
    <row r="4491" s="1" customFormat="1" x14ac:dyDescent="0.3"/>
    <row r="4492" s="1" customFormat="1" x14ac:dyDescent="0.3"/>
    <row r="4493" s="1" customFormat="1" x14ac:dyDescent="0.3"/>
    <row r="4494" s="1" customFormat="1" x14ac:dyDescent="0.3"/>
    <row r="4495" s="1" customFormat="1" x14ac:dyDescent="0.3"/>
    <row r="4496" s="1" customFormat="1" x14ac:dyDescent="0.3"/>
    <row r="4497" s="1" customFormat="1" x14ac:dyDescent="0.3"/>
    <row r="4498" s="1" customFormat="1" x14ac:dyDescent="0.3"/>
    <row r="4499" s="1" customFormat="1" x14ac:dyDescent="0.3"/>
    <row r="4500" s="1" customFormat="1" x14ac:dyDescent="0.3"/>
    <row r="4501" s="1" customFormat="1" x14ac:dyDescent="0.3"/>
    <row r="4502" s="1" customFormat="1" x14ac:dyDescent="0.3"/>
    <row r="4503" s="1" customFormat="1" x14ac:dyDescent="0.3"/>
    <row r="4504" s="1" customFormat="1" x14ac:dyDescent="0.3"/>
    <row r="4505" s="1" customFormat="1" x14ac:dyDescent="0.3"/>
    <row r="4506" s="1" customFormat="1" x14ac:dyDescent="0.3"/>
    <row r="4507" s="1" customFormat="1" x14ac:dyDescent="0.3"/>
    <row r="4508" s="1" customFormat="1" x14ac:dyDescent="0.3"/>
    <row r="4509" s="1" customFormat="1" x14ac:dyDescent="0.3"/>
    <row r="4510" s="1" customFormat="1" x14ac:dyDescent="0.3"/>
    <row r="4511" s="1" customFormat="1" x14ac:dyDescent="0.3"/>
    <row r="4512" s="1" customFormat="1" x14ac:dyDescent="0.3"/>
    <row r="4513" s="1" customFormat="1" x14ac:dyDescent="0.3"/>
    <row r="4514" s="1" customFormat="1" x14ac:dyDescent="0.3"/>
    <row r="4515" s="1" customFormat="1" x14ac:dyDescent="0.3"/>
    <row r="4516" s="1" customFormat="1" x14ac:dyDescent="0.3"/>
    <row r="4517" s="1" customFormat="1" x14ac:dyDescent="0.3"/>
    <row r="4518" s="1" customFormat="1" x14ac:dyDescent="0.3"/>
    <row r="4519" s="1" customFormat="1" x14ac:dyDescent="0.3"/>
    <row r="4520" s="1" customFormat="1" x14ac:dyDescent="0.3"/>
    <row r="4521" s="1" customFormat="1" x14ac:dyDescent="0.3"/>
    <row r="4522" s="1" customFormat="1" x14ac:dyDescent="0.3"/>
    <row r="4523" s="1" customFormat="1" x14ac:dyDescent="0.3"/>
    <row r="4524" s="1" customFormat="1" x14ac:dyDescent="0.3"/>
    <row r="4525" s="1" customFormat="1" x14ac:dyDescent="0.3"/>
    <row r="4526" s="1" customFormat="1" x14ac:dyDescent="0.3"/>
    <row r="4527" s="1" customFormat="1" x14ac:dyDescent="0.3"/>
    <row r="4528" s="1" customFormat="1" x14ac:dyDescent="0.3"/>
    <row r="4529" s="1" customFormat="1" x14ac:dyDescent="0.3"/>
    <row r="4530" s="1" customFormat="1" x14ac:dyDescent="0.3"/>
    <row r="4531" s="1" customFormat="1" x14ac:dyDescent="0.3"/>
    <row r="4532" s="1" customFormat="1" x14ac:dyDescent="0.3"/>
    <row r="4533" s="1" customFormat="1" x14ac:dyDescent="0.3"/>
    <row r="4534" s="1" customFormat="1" x14ac:dyDescent="0.3"/>
    <row r="4535" s="1" customFormat="1" x14ac:dyDescent="0.3"/>
    <row r="4536" s="1" customFormat="1" x14ac:dyDescent="0.3"/>
    <row r="4537" s="1" customFormat="1" x14ac:dyDescent="0.3"/>
    <row r="4538" s="1" customFormat="1" x14ac:dyDescent="0.3"/>
    <row r="4539" s="1" customFormat="1" x14ac:dyDescent="0.3"/>
    <row r="4540" s="1" customFormat="1" x14ac:dyDescent="0.3"/>
    <row r="4541" s="1" customFormat="1" x14ac:dyDescent="0.3"/>
    <row r="4542" s="1" customFormat="1" x14ac:dyDescent="0.3"/>
    <row r="4543" s="1" customFormat="1" x14ac:dyDescent="0.3"/>
    <row r="4544" s="1" customFormat="1" x14ac:dyDescent="0.3"/>
    <row r="4545" s="1" customFormat="1" x14ac:dyDescent="0.3"/>
    <row r="4546" s="1" customFormat="1" x14ac:dyDescent="0.3"/>
    <row r="4547" s="1" customFormat="1" x14ac:dyDescent="0.3"/>
    <row r="4548" s="1" customFormat="1" x14ac:dyDescent="0.3"/>
    <row r="4549" s="1" customFormat="1" x14ac:dyDescent="0.3"/>
    <row r="4550" s="1" customFormat="1" x14ac:dyDescent="0.3"/>
    <row r="4551" s="1" customFormat="1" x14ac:dyDescent="0.3"/>
    <row r="4552" s="1" customFormat="1" x14ac:dyDescent="0.3"/>
    <row r="4553" s="1" customFormat="1" x14ac:dyDescent="0.3"/>
    <row r="4554" s="1" customFormat="1" x14ac:dyDescent="0.3"/>
    <row r="4555" s="1" customFormat="1" x14ac:dyDescent="0.3"/>
    <row r="4556" s="1" customFormat="1" x14ac:dyDescent="0.3"/>
    <row r="4557" s="1" customFormat="1" x14ac:dyDescent="0.3"/>
    <row r="4558" s="1" customFormat="1" x14ac:dyDescent="0.3"/>
    <row r="4559" s="1" customFormat="1" x14ac:dyDescent="0.3"/>
    <row r="4560" s="1" customFormat="1" x14ac:dyDescent="0.3"/>
    <row r="4561" s="1" customFormat="1" x14ac:dyDescent="0.3"/>
    <row r="4562" s="1" customFormat="1" x14ac:dyDescent="0.3"/>
    <row r="4563" s="1" customFormat="1" x14ac:dyDescent="0.3"/>
    <row r="4564" s="1" customFormat="1" x14ac:dyDescent="0.3"/>
    <row r="4565" s="1" customFormat="1" x14ac:dyDescent="0.3"/>
    <row r="4566" s="1" customFormat="1" x14ac:dyDescent="0.3"/>
    <row r="4567" s="1" customFormat="1" x14ac:dyDescent="0.3"/>
    <row r="4568" s="1" customFormat="1" x14ac:dyDescent="0.3"/>
    <row r="4569" s="1" customFormat="1" x14ac:dyDescent="0.3"/>
    <row r="4570" s="1" customFormat="1" x14ac:dyDescent="0.3"/>
    <row r="4571" s="1" customFormat="1" x14ac:dyDescent="0.3"/>
    <row r="4572" s="1" customFormat="1" x14ac:dyDescent="0.3"/>
    <row r="4573" s="1" customFormat="1" x14ac:dyDescent="0.3"/>
    <row r="4574" s="1" customFormat="1" x14ac:dyDescent="0.3"/>
    <row r="4575" s="1" customFormat="1" x14ac:dyDescent="0.3"/>
    <row r="4576" s="1" customFormat="1" x14ac:dyDescent="0.3"/>
    <row r="4577" s="1" customFormat="1" x14ac:dyDescent="0.3"/>
    <row r="4578" s="1" customFormat="1" x14ac:dyDescent="0.3"/>
    <row r="4579" s="1" customFormat="1" x14ac:dyDescent="0.3"/>
    <row r="4580" s="1" customFormat="1" x14ac:dyDescent="0.3"/>
    <row r="4581" s="1" customFormat="1" x14ac:dyDescent="0.3"/>
    <row r="4582" s="1" customFormat="1" x14ac:dyDescent="0.3"/>
    <row r="4583" s="1" customFormat="1" x14ac:dyDescent="0.3"/>
    <row r="4584" s="1" customFormat="1" x14ac:dyDescent="0.3"/>
    <row r="4585" s="1" customFormat="1" x14ac:dyDescent="0.3"/>
    <row r="4586" s="1" customFormat="1" x14ac:dyDescent="0.3"/>
    <row r="4587" s="1" customFormat="1" x14ac:dyDescent="0.3"/>
    <row r="4588" s="1" customFormat="1" x14ac:dyDescent="0.3"/>
    <row r="4589" s="1" customFormat="1" x14ac:dyDescent="0.3"/>
    <row r="4590" s="1" customFormat="1" x14ac:dyDescent="0.3"/>
    <row r="4591" s="1" customFormat="1" x14ac:dyDescent="0.3"/>
    <row r="4592" s="1" customFormat="1" x14ac:dyDescent="0.3"/>
    <row r="4593" s="1" customFormat="1" x14ac:dyDescent="0.3"/>
    <row r="4594" s="1" customFormat="1" x14ac:dyDescent="0.3"/>
    <row r="4595" s="1" customFormat="1" x14ac:dyDescent="0.3"/>
    <row r="4596" s="1" customFormat="1" x14ac:dyDescent="0.3"/>
    <row r="4597" s="1" customFormat="1" x14ac:dyDescent="0.3"/>
    <row r="4598" s="1" customFormat="1" x14ac:dyDescent="0.3"/>
    <row r="4599" s="1" customFormat="1" x14ac:dyDescent="0.3"/>
    <row r="4600" s="1" customFormat="1" x14ac:dyDescent="0.3"/>
    <row r="4601" s="1" customFormat="1" x14ac:dyDescent="0.3"/>
    <row r="4602" s="1" customFormat="1" x14ac:dyDescent="0.3"/>
    <row r="4603" s="1" customFormat="1" x14ac:dyDescent="0.3"/>
    <row r="4604" s="1" customFormat="1" x14ac:dyDescent="0.3"/>
    <row r="4605" s="1" customFormat="1" x14ac:dyDescent="0.3"/>
    <row r="4606" s="1" customFormat="1" x14ac:dyDescent="0.3"/>
    <row r="4607" s="1" customFormat="1" x14ac:dyDescent="0.3"/>
    <row r="4608" s="1" customFormat="1" x14ac:dyDescent="0.3"/>
    <row r="4609" s="1" customFormat="1" x14ac:dyDescent="0.3"/>
    <row r="4610" s="1" customFormat="1" x14ac:dyDescent="0.3"/>
    <row r="4611" s="1" customFormat="1" x14ac:dyDescent="0.3"/>
    <row r="4612" s="1" customFormat="1" x14ac:dyDescent="0.3"/>
    <row r="4613" s="1" customFormat="1" x14ac:dyDescent="0.3"/>
    <row r="4614" s="1" customFormat="1" x14ac:dyDescent="0.3"/>
    <row r="4615" s="1" customFormat="1" x14ac:dyDescent="0.3"/>
    <row r="4616" s="1" customFormat="1" x14ac:dyDescent="0.3"/>
    <row r="4617" s="1" customFormat="1" x14ac:dyDescent="0.3"/>
    <row r="4618" s="1" customFormat="1" x14ac:dyDescent="0.3"/>
    <row r="4619" s="1" customFormat="1" x14ac:dyDescent="0.3"/>
    <row r="4620" s="1" customFormat="1" x14ac:dyDescent="0.3"/>
    <row r="4621" s="1" customFormat="1" x14ac:dyDescent="0.3"/>
    <row r="4622" s="1" customFormat="1" x14ac:dyDescent="0.3"/>
    <row r="4623" s="1" customFormat="1" x14ac:dyDescent="0.3"/>
    <row r="4624" s="1" customFormat="1" x14ac:dyDescent="0.3"/>
    <row r="4625" s="1" customFormat="1" x14ac:dyDescent="0.3"/>
    <row r="4626" s="1" customFormat="1" x14ac:dyDescent="0.3"/>
    <row r="4627" s="1" customFormat="1" x14ac:dyDescent="0.3"/>
    <row r="4628" s="1" customFormat="1" x14ac:dyDescent="0.3"/>
    <row r="4629" s="1" customFormat="1" x14ac:dyDescent="0.3"/>
    <row r="4630" s="1" customFormat="1" x14ac:dyDescent="0.3"/>
    <row r="4631" s="1" customFormat="1" x14ac:dyDescent="0.3"/>
    <row r="4632" s="1" customFormat="1" x14ac:dyDescent="0.3"/>
    <row r="4633" s="1" customFormat="1" x14ac:dyDescent="0.3"/>
    <row r="4634" s="1" customFormat="1" x14ac:dyDescent="0.3"/>
    <row r="4635" s="1" customFormat="1" x14ac:dyDescent="0.3"/>
    <row r="4636" s="1" customFormat="1" x14ac:dyDescent="0.3"/>
    <row r="4637" s="1" customFormat="1" x14ac:dyDescent="0.3"/>
    <row r="4638" s="1" customFormat="1" x14ac:dyDescent="0.3"/>
    <row r="4639" s="1" customFormat="1" x14ac:dyDescent="0.3"/>
    <row r="4640" s="1" customFormat="1" x14ac:dyDescent="0.3"/>
    <row r="4641" s="1" customFormat="1" x14ac:dyDescent="0.3"/>
    <row r="4642" s="1" customFormat="1" x14ac:dyDescent="0.3"/>
    <row r="4643" s="1" customFormat="1" x14ac:dyDescent="0.3"/>
    <row r="4644" s="1" customFormat="1" x14ac:dyDescent="0.3"/>
    <row r="4645" s="1" customFormat="1" x14ac:dyDescent="0.3"/>
    <row r="4646" s="1" customFormat="1" x14ac:dyDescent="0.3"/>
    <row r="4647" s="1" customFormat="1" x14ac:dyDescent="0.3"/>
    <row r="4648" s="1" customFormat="1" x14ac:dyDescent="0.3"/>
    <row r="4649" s="1" customFormat="1" x14ac:dyDescent="0.3"/>
    <row r="4650" s="1" customFormat="1" x14ac:dyDescent="0.3"/>
    <row r="4651" s="1" customFormat="1" x14ac:dyDescent="0.3"/>
    <row r="4652" s="1" customFormat="1" x14ac:dyDescent="0.3"/>
    <row r="4653" s="1" customFormat="1" x14ac:dyDescent="0.3"/>
    <row r="4654" s="1" customFormat="1" x14ac:dyDescent="0.3"/>
    <row r="4655" s="1" customFormat="1" x14ac:dyDescent="0.3"/>
    <row r="4656" s="1" customFormat="1" x14ac:dyDescent="0.3"/>
    <row r="4657" s="1" customFormat="1" x14ac:dyDescent="0.3"/>
    <row r="4658" s="1" customFormat="1" x14ac:dyDescent="0.3"/>
    <row r="4659" s="1" customFormat="1" x14ac:dyDescent="0.3"/>
    <row r="4660" s="1" customFormat="1" x14ac:dyDescent="0.3"/>
    <row r="4661" s="1" customFormat="1" x14ac:dyDescent="0.3"/>
    <row r="4662" s="1" customFormat="1" x14ac:dyDescent="0.3"/>
    <row r="4663" s="1" customFormat="1" x14ac:dyDescent="0.3"/>
    <row r="4664" s="1" customFormat="1" x14ac:dyDescent="0.3"/>
    <row r="4665" s="1" customFormat="1" x14ac:dyDescent="0.3"/>
    <row r="4666" s="1" customFormat="1" x14ac:dyDescent="0.3"/>
    <row r="4667" s="1" customFormat="1" x14ac:dyDescent="0.3"/>
    <row r="4668" s="1" customFormat="1" x14ac:dyDescent="0.3"/>
    <row r="4669" s="1" customFormat="1" x14ac:dyDescent="0.3"/>
    <row r="4670" s="1" customFormat="1" x14ac:dyDescent="0.3"/>
    <row r="4671" s="1" customFormat="1" x14ac:dyDescent="0.3"/>
    <row r="4672" s="1" customFormat="1" x14ac:dyDescent="0.3"/>
    <row r="4673" s="1" customFormat="1" x14ac:dyDescent="0.3"/>
    <row r="4674" s="1" customFormat="1" x14ac:dyDescent="0.3"/>
    <row r="4675" s="1" customFormat="1" x14ac:dyDescent="0.3"/>
    <row r="4676" s="1" customFormat="1" x14ac:dyDescent="0.3"/>
    <row r="4677" s="1" customFormat="1" x14ac:dyDescent="0.3"/>
    <row r="4678" s="1" customFormat="1" x14ac:dyDescent="0.3"/>
    <row r="4679" s="1" customFormat="1" x14ac:dyDescent="0.3"/>
    <row r="4680" s="1" customFormat="1" x14ac:dyDescent="0.3"/>
    <row r="4681" s="1" customFormat="1" x14ac:dyDescent="0.3"/>
    <row r="4682" s="1" customFormat="1" x14ac:dyDescent="0.3"/>
    <row r="4683" s="1" customFormat="1" x14ac:dyDescent="0.3"/>
    <row r="4684" s="1" customFormat="1" x14ac:dyDescent="0.3"/>
    <row r="4685" s="1" customFormat="1" x14ac:dyDescent="0.3"/>
    <row r="4686" s="1" customFormat="1" x14ac:dyDescent="0.3"/>
    <row r="4687" s="1" customFormat="1" x14ac:dyDescent="0.3"/>
    <row r="4688" s="1" customFormat="1" x14ac:dyDescent="0.3"/>
    <row r="4689" s="1" customFormat="1" x14ac:dyDescent="0.3"/>
    <row r="4690" s="1" customFormat="1" x14ac:dyDescent="0.3"/>
    <row r="4691" s="1" customFormat="1" x14ac:dyDescent="0.3"/>
    <row r="4692" s="1" customFormat="1" x14ac:dyDescent="0.3"/>
    <row r="4693" s="1" customFormat="1" x14ac:dyDescent="0.3"/>
    <row r="4694" s="1" customFormat="1" x14ac:dyDescent="0.3"/>
    <row r="4695" s="1" customFormat="1" x14ac:dyDescent="0.3"/>
    <row r="4696" s="1" customFormat="1" x14ac:dyDescent="0.3"/>
    <row r="4697" s="1" customFormat="1" x14ac:dyDescent="0.3"/>
    <row r="4698" s="1" customFormat="1" x14ac:dyDescent="0.3"/>
    <row r="4699" s="1" customFormat="1" x14ac:dyDescent="0.3"/>
    <row r="4700" s="1" customFormat="1" x14ac:dyDescent="0.3"/>
    <row r="4701" s="1" customFormat="1" x14ac:dyDescent="0.3"/>
    <row r="4702" s="1" customFormat="1" x14ac:dyDescent="0.3"/>
    <row r="4703" s="1" customFormat="1" x14ac:dyDescent="0.3"/>
    <row r="4704" s="1" customFormat="1" x14ac:dyDescent="0.3"/>
    <row r="4705" s="1" customFormat="1" x14ac:dyDescent="0.3"/>
    <row r="4706" s="1" customFormat="1" x14ac:dyDescent="0.3"/>
    <row r="4707" s="1" customFormat="1" x14ac:dyDescent="0.3"/>
    <row r="4708" s="1" customFormat="1" x14ac:dyDescent="0.3"/>
    <row r="4709" s="1" customFormat="1" x14ac:dyDescent="0.3"/>
    <row r="4710" s="1" customFormat="1" x14ac:dyDescent="0.3"/>
    <row r="4711" s="1" customFormat="1" x14ac:dyDescent="0.3"/>
    <row r="4712" s="1" customFormat="1" x14ac:dyDescent="0.3"/>
    <row r="4713" s="1" customFormat="1" x14ac:dyDescent="0.3"/>
    <row r="4714" s="1" customFormat="1" x14ac:dyDescent="0.3"/>
    <row r="4715" s="1" customFormat="1" x14ac:dyDescent="0.3"/>
    <row r="4716" s="1" customFormat="1" x14ac:dyDescent="0.3"/>
    <row r="4717" s="1" customFormat="1" x14ac:dyDescent="0.3"/>
    <row r="4718" s="1" customFormat="1" x14ac:dyDescent="0.3"/>
    <row r="4719" s="1" customFormat="1" x14ac:dyDescent="0.3"/>
    <row r="4720" s="1" customFormat="1" x14ac:dyDescent="0.3"/>
    <row r="4721" s="1" customFormat="1" x14ac:dyDescent="0.3"/>
    <row r="4722" s="1" customFormat="1" x14ac:dyDescent="0.3"/>
    <row r="4723" s="1" customFormat="1" x14ac:dyDescent="0.3"/>
    <row r="4724" s="1" customFormat="1" x14ac:dyDescent="0.3"/>
    <row r="4725" s="1" customFormat="1" x14ac:dyDescent="0.3"/>
    <row r="4726" s="1" customFormat="1" x14ac:dyDescent="0.3"/>
    <row r="4727" s="1" customFormat="1" x14ac:dyDescent="0.3"/>
    <row r="4728" s="1" customFormat="1" x14ac:dyDescent="0.3"/>
    <row r="4729" s="1" customFormat="1" x14ac:dyDescent="0.3"/>
    <row r="4730" s="1" customFormat="1" x14ac:dyDescent="0.3"/>
    <row r="4731" s="1" customFormat="1" x14ac:dyDescent="0.3"/>
    <row r="4732" s="1" customFormat="1" x14ac:dyDescent="0.3"/>
    <row r="4733" s="1" customFormat="1" x14ac:dyDescent="0.3"/>
    <row r="4734" s="1" customFormat="1" x14ac:dyDescent="0.3"/>
    <row r="4735" s="1" customFormat="1" x14ac:dyDescent="0.3"/>
    <row r="4736" s="1" customFormat="1" x14ac:dyDescent="0.3"/>
    <row r="4737" s="1" customFormat="1" x14ac:dyDescent="0.3"/>
    <row r="4738" s="1" customFormat="1" x14ac:dyDescent="0.3"/>
    <row r="4739" s="1" customFormat="1" x14ac:dyDescent="0.3"/>
    <row r="4740" s="1" customFormat="1" x14ac:dyDescent="0.3"/>
    <row r="4741" s="1" customFormat="1" x14ac:dyDescent="0.3"/>
    <row r="4742" s="1" customFormat="1" x14ac:dyDescent="0.3"/>
    <row r="4743" s="1" customFormat="1" x14ac:dyDescent="0.3"/>
    <row r="4744" s="1" customFormat="1" x14ac:dyDescent="0.3"/>
    <row r="4745" s="1" customFormat="1" x14ac:dyDescent="0.3"/>
    <row r="4746" s="1" customFormat="1" x14ac:dyDescent="0.3"/>
    <row r="4747" s="1" customFormat="1" x14ac:dyDescent="0.3"/>
    <row r="4748" s="1" customFormat="1" x14ac:dyDescent="0.3"/>
    <row r="4749" s="1" customFormat="1" x14ac:dyDescent="0.3"/>
    <row r="4750" s="1" customFormat="1" x14ac:dyDescent="0.3"/>
    <row r="4751" s="1" customFormat="1" x14ac:dyDescent="0.3"/>
    <row r="4752" s="1" customFormat="1" x14ac:dyDescent="0.3"/>
    <row r="4753" s="1" customFormat="1" x14ac:dyDescent="0.3"/>
    <row r="4754" s="1" customFormat="1" x14ac:dyDescent="0.3"/>
    <row r="4755" s="1" customFormat="1" x14ac:dyDescent="0.3"/>
    <row r="4756" s="1" customFormat="1" x14ac:dyDescent="0.3"/>
    <row r="4757" s="1" customFormat="1" x14ac:dyDescent="0.3"/>
    <row r="4758" s="1" customFormat="1" x14ac:dyDescent="0.3"/>
    <row r="4759" s="1" customFormat="1" x14ac:dyDescent="0.3"/>
    <row r="4760" s="1" customFormat="1" x14ac:dyDescent="0.3"/>
    <row r="4761" s="1" customFormat="1" x14ac:dyDescent="0.3"/>
    <row r="4762" s="1" customFormat="1" x14ac:dyDescent="0.3"/>
    <row r="4763" s="1" customFormat="1" x14ac:dyDescent="0.3"/>
    <row r="4764" s="1" customFormat="1" x14ac:dyDescent="0.3"/>
    <row r="4765" s="1" customFormat="1" x14ac:dyDescent="0.3"/>
    <row r="4766" s="1" customFormat="1" x14ac:dyDescent="0.3"/>
    <row r="4767" s="1" customFormat="1" x14ac:dyDescent="0.3"/>
    <row r="4768" s="1" customFormat="1" x14ac:dyDescent="0.3"/>
    <row r="4769" s="1" customFormat="1" x14ac:dyDescent="0.3"/>
    <row r="4770" s="1" customFormat="1" x14ac:dyDescent="0.3"/>
    <row r="4771" s="1" customFormat="1" x14ac:dyDescent="0.3"/>
    <row r="4772" s="1" customFormat="1" x14ac:dyDescent="0.3"/>
    <row r="4773" s="1" customFormat="1" x14ac:dyDescent="0.3"/>
    <row r="4774" s="1" customFormat="1" x14ac:dyDescent="0.3"/>
    <row r="4775" s="1" customFormat="1" x14ac:dyDescent="0.3"/>
    <row r="4776" s="1" customFormat="1" x14ac:dyDescent="0.3"/>
    <row r="4777" s="1" customFormat="1" x14ac:dyDescent="0.3"/>
    <row r="4778" s="1" customFormat="1" x14ac:dyDescent="0.3"/>
    <row r="4779" s="1" customFormat="1" x14ac:dyDescent="0.3"/>
    <row r="4780" s="1" customFormat="1" x14ac:dyDescent="0.3"/>
    <row r="4781" s="1" customFormat="1" x14ac:dyDescent="0.3"/>
    <row r="4782" s="1" customFormat="1" x14ac:dyDescent="0.3"/>
    <row r="4783" s="1" customFormat="1" x14ac:dyDescent="0.3"/>
    <row r="4784" s="1" customFormat="1" x14ac:dyDescent="0.3"/>
    <row r="4785" s="1" customFormat="1" x14ac:dyDescent="0.3"/>
    <row r="4786" s="1" customFormat="1" x14ac:dyDescent="0.3"/>
    <row r="4787" s="1" customFormat="1" x14ac:dyDescent="0.3"/>
    <row r="4788" s="1" customFormat="1" x14ac:dyDescent="0.3"/>
    <row r="4789" s="1" customFormat="1" x14ac:dyDescent="0.3"/>
    <row r="4790" s="1" customFormat="1" x14ac:dyDescent="0.3"/>
    <row r="4791" s="1" customFormat="1" x14ac:dyDescent="0.3"/>
    <row r="4792" s="1" customFormat="1" x14ac:dyDescent="0.3"/>
    <row r="4793" s="1" customFormat="1" x14ac:dyDescent="0.3"/>
    <row r="4794" s="1" customFormat="1" x14ac:dyDescent="0.3"/>
    <row r="4795" s="1" customFormat="1" x14ac:dyDescent="0.3"/>
    <row r="4796" s="1" customFormat="1" x14ac:dyDescent="0.3"/>
    <row r="4797" s="1" customFormat="1" x14ac:dyDescent="0.3"/>
    <row r="4798" s="1" customFormat="1" x14ac:dyDescent="0.3"/>
    <row r="4799" s="1" customFormat="1" x14ac:dyDescent="0.3"/>
    <row r="4800" s="1" customFormat="1" x14ac:dyDescent="0.3"/>
    <row r="4801" s="1" customFormat="1" x14ac:dyDescent="0.3"/>
    <row r="4802" s="1" customFormat="1" x14ac:dyDescent="0.3"/>
    <row r="4803" s="1" customFormat="1" x14ac:dyDescent="0.3"/>
    <row r="4804" s="1" customFormat="1" x14ac:dyDescent="0.3"/>
    <row r="4805" s="1" customFormat="1" x14ac:dyDescent="0.3"/>
    <row r="4806" s="1" customFormat="1" x14ac:dyDescent="0.3"/>
    <row r="4807" s="1" customFormat="1" x14ac:dyDescent="0.3"/>
    <row r="4808" s="1" customFormat="1" x14ac:dyDescent="0.3"/>
    <row r="4809" s="1" customFormat="1" x14ac:dyDescent="0.3"/>
    <row r="4810" s="1" customFormat="1" x14ac:dyDescent="0.3"/>
    <row r="4811" s="1" customFormat="1" x14ac:dyDescent="0.3"/>
    <row r="4812" s="1" customFormat="1" x14ac:dyDescent="0.3"/>
    <row r="4813" s="1" customFormat="1" x14ac:dyDescent="0.3"/>
    <row r="4814" s="1" customFormat="1" x14ac:dyDescent="0.3"/>
    <row r="4815" s="1" customFormat="1" x14ac:dyDescent="0.3"/>
    <row r="4816" s="1" customFormat="1" x14ac:dyDescent="0.3"/>
    <row r="4817" s="1" customFormat="1" x14ac:dyDescent="0.3"/>
    <row r="4818" s="1" customFormat="1" x14ac:dyDescent="0.3"/>
    <row r="4819" s="1" customFormat="1" x14ac:dyDescent="0.3"/>
    <row r="4820" s="1" customFormat="1" x14ac:dyDescent="0.3"/>
    <row r="4821" s="1" customFormat="1" x14ac:dyDescent="0.3"/>
    <row r="4822" s="1" customFormat="1" x14ac:dyDescent="0.3"/>
    <row r="4823" s="1" customFormat="1" x14ac:dyDescent="0.3"/>
    <row r="4824" s="1" customFormat="1" x14ac:dyDescent="0.3"/>
    <row r="4825" s="1" customFormat="1" x14ac:dyDescent="0.3"/>
    <row r="4826" s="1" customFormat="1" x14ac:dyDescent="0.3"/>
    <row r="4827" s="1" customFormat="1" x14ac:dyDescent="0.3"/>
    <row r="4828" s="1" customFormat="1" x14ac:dyDescent="0.3"/>
    <row r="4829" s="1" customFormat="1" x14ac:dyDescent="0.3"/>
    <row r="4830" s="1" customFormat="1" x14ac:dyDescent="0.3"/>
    <row r="4831" s="1" customFormat="1" x14ac:dyDescent="0.3"/>
    <row r="4832" s="1" customFormat="1" x14ac:dyDescent="0.3"/>
    <row r="4833" s="1" customFormat="1" x14ac:dyDescent="0.3"/>
    <row r="4834" s="1" customFormat="1" x14ac:dyDescent="0.3"/>
    <row r="4835" s="1" customFormat="1" x14ac:dyDescent="0.3"/>
    <row r="4836" s="1" customFormat="1" x14ac:dyDescent="0.3"/>
    <row r="4837" s="1" customFormat="1" x14ac:dyDescent="0.3"/>
    <row r="4838" s="1" customFormat="1" x14ac:dyDescent="0.3"/>
    <row r="4839" s="1" customFormat="1" x14ac:dyDescent="0.3"/>
    <row r="4840" s="1" customFormat="1" x14ac:dyDescent="0.3"/>
    <row r="4841" s="1" customFormat="1" x14ac:dyDescent="0.3"/>
    <row r="4842" s="1" customFormat="1" x14ac:dyDescent="0.3"/>
    <row r="4843" s="1" customFormat="1" x14ac:dyDescent="0.3"/>
    <row r="4844" s="1" customFormat="1" x14ac:dyDescent="0.3"/>
    <row r="4845" s="1" customFormat="1" x14ac:dyDescent="0.3"/>
    <row r="4846" s="1" customFormat="1" x14ac:dyDescent="0.3"/>
    <row r="4847" s="1" customFormat="1" x14ac:dyDescent="0.3"/>
    <row r="4848" s="1" customFormat="1" x14ac:dyDescent="0.3"/>
    <row r="4849" s="1" customFormat="1" x14ac:dyDescent="0.3"/>
    <row r="4850" s="1" customFormat="1" x14ac:dyDescent="0.3"/>
    <row r="4851" s="1" customFormat="1" x14ac:dyDescent="0.3"/>
    <row r="4852" s="1" customFormat="1" x14ac:dyDescent="0.3"/>
    <row r="4853" s="1" customFormat="1" x14ac:dyDescent="0.3"/>
    <row r="4854" s="1" customFormat="1" x14ac:dyDescent="0.3"/>
    <row r="4855" s="1" customFormat="1" x14ac:dyDescent="0.3"/>
    <row r="4856" s="1" customFormat="1" x14ac:dyDescent="0.3"/>
    <row r="4857" s="1" customFormat="1" x14ac:dyDescent="0.3"/>
    <row r="4858" s="1" customFormat="1" x14ac:dyDescent="0.3"/>
    <row r="4859" s="1" customFormat="1" x14ac:dyDescent="0.3"/>
    <row r="4860" s="1" customFormat="1" x14ac:dyDescent="0.3"/>
    <row r="4861" s="1" customFormat="1" x14ac:dyDescent="0.3"/>
    <row r="4862" s="1" customFormat="1" x14ac:dyDescent="0.3"/>
    <row r="4863" s="1" customFormat="1" x14ac:dyDescent="0.3"/>
    <row r="4864" s="1" customFormat="1" x14ac:dyDescent="0.3"/>
    <row r="4865" s="1" customFormat="1" x14ac:dyDescent="0.3"/>
    <row r="4866" s="1" customFormat="1" x14ac:dyDescent="0.3"/>
    <row r="4867" s="1" customFormat="1" x14ac:dyDescent="0.3"/>
    <row r="4868" s="1" customFormat="1" x14ac:dyDescent="0.3"/>
    <row r="4869" s="1" customFormat="1" x14ac:dyDescent="0.3"/>
    <row r="4870" s="1" customFormat="1" x14ac:dyDescent="0.3"/>
    <row r="4871" s="1" customFormat="1" x14ac:dyDescent="0.3"/>
    <row r="4872" s="1" customFormat="1" x14ac:dyDescent="0.3"/>
    <row r="4873" s="1" customFormat="1" x14ac:dyDescent="0.3"/>
    <row r="4874" s="1" customFormat="1" x14ac:dyDescent="0.3"/>
    <row r="4875" s="1" customFormat="1" x14ac:dyDescent="0.3"/>
    <row r="4876" s="1" customFormat="1" x14ac:dyDescent="0.3"/>
    <row r="4877" s="1" customFormat="1" x14ac:dyDescent="0.3"/>
    <row r="4878" s="1" customFormat="1" x14ac:dyDescent="0.3"/>
    <row r="4879" s="1" customFormat="1" x14ac:dyDescent="0.3"/>
    <row r="4880" s="1" customFormat="1" x14ac:dyDescent="0.3"/>
    <row r="4881" s="1" customFormat="1" x14ac:dyDescent="0.3"/>
    <row r="4882" s="1" customFormat="1" x14ac:dyDescent="0.3"/>
    <row r="4883" s="1" customFormat="1" x14ac:dyDescent="0.3"/>
    <row r="4884" s="1" customFormat="1" x14ac:dyDescent="0.3"/>
    <row r="4885" s="1" customFormat="1" x14ac:dyDescent="0.3"/>
    <row r="4886" s="1" customFormat="1" x14ac:dyDescent="0.3"/>
    <row r="4887" s="1" customFormat="1" x14ac:dyDescent="0.3"/>
    <row r="4888" s="1" customFormat="1" x14ac:dyDescent="0.3"/>
    <row r="4889" s="1" customFormat="1" x14ac:dyDescent="0.3"/>
    <row r="4890" s="1" customFormat="1" x14ac:dyDescent="0.3"/>
    <row r="4891" s="1" customFormat="1" x14ac:dyDescent="0.3"/>
    <row r="4892" s="1" customFormat="1" x14ac:dyDescent="0.3"/>
    <row r="4893" s="1" customFormat="1" x14ac:dyDescent="0.3"/>
    <row r="4894" s="1" customFormat="1" x14ac:dyDescent="0.3"/>
    <row r="4895" s="1" customFormat="1" x14ac:dyDescent="0.3"/>
    <row r="4896" s="1" customFormat="1" x14ac:dyDescent="0.3"/>
    <row r="4897" s="1" customFormat="1" x14ac:dyDescent="0.3"/>
    <row r="4898" s="1" customFormat="1" x14ac:dyDescent="0.3"/>
    <row r="4899" s="1" customFormat="1" x14ac:dyDescent="0.3"/>
    <row r="4900" s="1" customFormat="1" x14ac:dyDescent="0.3"/>
    <row r="4901" s="1" customFormat="1" x14ac:dyDescent="0.3"/>
    <row r="4902" s="1" customFormat="1" x14ac:dyDescent="0.3"/>
    <row r="4903" s="1" customFormat="1" x14ac:dyDescent="0.3"/>
    <row r="4904" s="1" customFormat="1" x14ac:dyDescent="0.3"/>
    <row r="4905" s="1" customFormat="1" x14ac:dyDescent="0.3"/>
    <row r="4906" s="1" customFormat="1" x14ac:dyDescent="0.3"/>
    <row r="4907" s="1" customFormat="1" x14ac:dyDescent="0.3"/>
    <row r="4908" s="1" customFormat="1" x14ac:dyDescent="0.3"/>
    <row r="4909" s="1" customFormat="1" x14ac:dyDescent="0.3"/>
    <row r="4910" s="1" customFormat="1" x14ac:dyDescent="0.3"/>
    <row r="4911" s="1" customFormat="1" x14ac:dyDescent="0.3"/>
    <row r="4912" s="1" customFormat="1" x14ac:dyDescent="0.3"/>
    <row r="4913" s="1" customFormat="1" x14ac:dyDescent="0.3"/>
    <row r="4914" s="1" customFormat="1" x14ac:dyDescent="0.3"/>
    <row r="4915" s="1" customFormat="1" x14ac:dyDescent="0.3"/>
    <row r="4916" s="1" customFormat="1" x14ac:dyDescent="0.3"/>
    <row r="4917" s="1" customFormat="1" x14ac:dyDescent="0.3"/>
    <row r="4918" s="1" customFormat="1" x14ac:dyDescent="0.3"/>
    <row r="4919" s="1" customFormat="1" x14ac:dyDescent="0.3"/>
    <row r="4920" s="1" customFormat="1" x14ac:dyDescent="0.3"/>
    <row r="4921" s="1" customFormat="1" x14ac:dyDescent="0.3"/>
    <row r="4922" s="1" customFormat="1" x14ac:dyDescent="0.3"/>
    <row r="4923" s="1" customFormat="1" x14ac:dyDescent="0.3"/>
    <row r="4924" s="1" customFormat="1" x14ac:dyDescent="0.3"/>
    <row r="4925" s="1" customFormat="1" x14ac:dyDescent="0.3"/>
    <row r="4926" s="1" customFormat="1" x14ac:dyDescent="0.3"/>
    <row r="4927" s="1" customFormat="1" x14ac:dyDescent="0.3"/>
    <row r="4928" s="1" customFormat="1" x14ac:dyDescent="0.3"/>
    <row r="4929" s="1" customFormat="1" x14ac:dyDescent="0.3"/>
    <row r="4930" s="1" customFormat="1" x14ac:dyDescent="0.3"/>
    <row r="4931" s="1" customFormat="1" x14ac:dyDescent="0.3"/>
    <row r="4932" s="1" customFormat="1" x14ac:dyDescent="0.3"/>
    <row r="4933" s="1" customFormat="1" x14ac:dyDescent="0.3"/>
    <row r="4934" s="1" customFormat="1" x14ac:dyDescent="0.3"/>
    <row r="4935" s="1" customFormat="1" x14ac:dyDescent="0.3"/>
    <row r="4936" s="1" customFormat="1" x14ac:dyDescent="0.3"/>
    <row r="4937" s="1" customFormat="1" x14ac:dyDescent="0.3"/>
    <row r="4938" s="1" customFormat="1" x14ac:dyDescent="0.3"/>
    <row r="4939" s="1" customFormat="1" x14ac:dyDescent="0.3"/>
    <row r="4940" s="1" customFormat="1" x14ac:dyDescent="0.3"/>
    <row r="4941" s="1" customFormat="1" x14ac:dyDescent="0.3"/>
    <row r="4942" s="1" customFormat="1" x14ac:dyDescent="0.3"/>
    <row r="4943" s="1" customFormat="1" x14ac:dyDescent="0.3"/>
    <row r="4944" s="1" customFormat="1" x14ac:dyDescent="0.3"/>
    <row r="4945" s="1" customFormat="1" x14ac:dyDescent="0.3"/>
    <row r="4946" s="1" customFormat="1" x14ac:dyDescent="0.3"/>
    <row r="4947" s="1" customFormat="1" x14ac:dyDescent="0.3"/>
    <row r="4948" s="1" customFormat="1" x14ac:dyDescent="0.3"/>
    <row r="4949" s="1" customFormat="1" x14ac:dyDescent="0.3"/>
    <row r="4950" s="1" customFormat="1" x14ac:dyDescent="0.3"/>
    <row r="4951" s="1" customFormat="1" x14ac:dyDescent="0.3"/>
    <row r="4952" s="1" customFormat="1" x14ac:dyDescent="0.3"/>
    <row r="4953" s="1" customFormat="1" x14ac:dyDescent="0.3"/>
    <row r="4954" s="1" customFormat="1" x14ac:dyDescent="0.3"/>
    <row r="4955" s="1" customFormat="1" x14ac:dyDescent="0.3"/>
    <row r="4956" s="1" customFormat="1" x14ac:dyDescent="0.3"/>
    <row r="4957" s="1" customFormat="1" x14ac:dyDescent="0.3"/>
    <row r="4958" s="1" customFormat="1" x14ac:dyDescent="0.3"/>
    <row r="4959" s="1" customFormat="1" x14ac:dyDescent="0.3"/>
    <row r="4960" s="1" customFormat="1" x14ac:dyDescent="0.3"/>
    <row r="4961" s="1" customFormat="1" x14ac:dyDescent="0.3"/>
    <row r="4962" s="1" customFormat="1" x14ac:dyDescent="0.3"/>
    <row r="4963" s="1" customFormat="1" x14ac:dyDescent="0.3"/>
    <row r="4964" s="1" customFormat="1" x14ac:dyDescent="0.3"/>
    <row r="4965" s="1" customFormat="1" x14ac:dyDescent="0.3"/>
    <row r="4966" s="1" customFormat="1" x14ac:dyDescent="0.3"/>
    <row r="4967" s="1" customFormat="1" x14ac:dyDescent="0.3"/>
    <row r="4968" s="1" customFormat="1" x14ac:dyDescent="0.3"/>
    <row r="4969" s="1" customFormat="1" x14ac:dyDescent="0.3"/>
    <row r="4970" s="1" customFormat="1" x14ac:dyDescent="0.3"/>
    <row r="4971" s="1" customFormat="1" x14ac:dyDescent="0.3"/>
    <row r="4972" s="1" customFormat="1" x14ac:dyDescent="0.3"/>
    <row r="4973" s="1" customFormat="1" x14ac:dyDescent="0.3"/>
    <row r="4974" s="1" customFormat="1" x14ac:dyDescent="0.3"/>
    <row r="4975" s="1" customFormat="1" x14ac:dyDescent="0.3"/>
    <row r="4976" s="1" customFormat="1" x14ac:dyDescent="0.3"/>
    <row r="4977" s="1" customFormat="1" x14ac:dyDescent="0.3"/>
    <row r="4978" s="1" customFormat="1" x14ac:dyDescent="0.3"/>
    <row r="4979" s="1" customFormat="1" x14ac:dyDescent="0.3"/>
    <row r="4980" s="1" customFormat="1" x14ac:dyDescent="0.3"/>
    <row r="4981" s="1" customFormat="1" x14ac:dyDescent="0.3"/>
    <row r="4982" s="1" customFormat="1" x14ac:dyDescent="0.3"/>
    <row r="4983" s="1" customFormat="1" x14ac:dyDescent="0.3"/>
    <row r="4984" s="1" customFormat="1" x14ac:dyDescent="0.3"/>
    <row r="4985" s="1" customFormat="1" x14ac:dyDescent="0.3"/>
    <row r="4986" s="1" customFormat="1" x14ac:dyDescent="0.3"/>
    <row r="4987" s="1" customFormat="1" x14ac:dyDescent="0.3"/>
    <row r="4988" s="1" customFormat="1" x14ac:dyDescent="0.3"/>
    <row r="4989" s="1" customFormat="1" x14ac:dyDescent="0.3"/>
    <row r="4990" s="1" customFormat="1" x14ac:dyDescent="0.3"/>
    <row r="4991" s="1" customFormat="1" x14ac:dyDescent="0.3"/>
    <row r="4992" s="1" customFormat="1" x14ac:dyDescent="0.3"/>
    <row r="4993" s="1" customFormat="1" x14ac:dyDescent="0.3"/>
    <row r="4994" s="1" customFormat="1" x14ac:dyDescent="0.3"/>
    <row r="4995" s="1" customFormat="1" x14ac:dyDescent="0.3"/>
    <row r="4996" s="1" customFormat="1" x14ac:dyDescent="0.3"/>
    <row r="4997" s="1" customFormat="1" x14ac:dyDescent="0.3"/>
    <row r="4998" s="1" customFormat="1" x14ac:dyDescent="0.3"/>
    <row r="4999" s="1" customFormat="1" x14ac:dyDescent="0.3"/>
    <row r="5000" s="1" customFormat="1" x14ac:dyDescent="0.3"/>
    <row r="5001" s="1" customFormat="1" x14ac:dyDescent="0.3"/>
    <row r="5002" s="1" customFormat="1" x14ac:dyDescent="0.3"/>
    <row r="5003" s="1" customFormat="1" x14ac:dyDescent="0.3"/>
    <row r="5004" s="1" customFormat="1" x14ac:dyDescent="0.3"/>
    <row r="5005" s="1" customFormat="1" x14ac:dyDescent="0.3"/>
    <row r="5006" s="1" customFormat="1" x14ac:dyDescent="0.3"/>
    <row r="5007" s="1" customFormat="1" x14ac:dyDescent="0.3"/>
    <row r="5008" s="1" customFormat="1" x14ac:dyDescent="0.3"/>
    <row r="5009" s="1" customFormat="1" x14ac:dyDescent="0.3"/>
    <row r="5010" s="1" customFormat="1" x14ac:dyDescent="0.3"/>
    <row r="5011" s="1" customFormat="1" x14ac:dyDescent="0.3"/>
    <row r="5012" s="1" customFormat="1" x14ac:dyDescent="0.3"/>
    <row r="5013" s="1" customFormat="1" x14ac:dyDescent="0.3"/>
    <row r="5014" s="1" customFormat="1" x14ac:dyDescent="0.3"/>
    <row r="5015" s="1" customFormat="1" x14ac:dyDescent="0.3"/>
    <row r="5016" s="1" customFormat="1" x14ac:dyDescent="0.3"/>
    <row r="5017" s="1" customFormat="1" x14ac:dyDescent="0.3"/>
    <row r="5018" s="1" customFormat="1" x14ac:dyDescent="0.3"/>
    <row r="5019" s="1" customFormat="1" x14ac:dyDescent="0.3"/>
    <row r="5020" s="1" customFormat="1" x14ac:dyDescent="0.3"/>
    <row r="5021" s="1" customFormat="1" x14ac:dyDescent="0.3"/>
    <row r="5022" s="1" customFormat="1" x14ac:dyDescent="0.3"/>
    <row r="5023" s="1" customFormat="1" x14ac:dyDescent="0.3"/>
    <row r="5024" s="1" customFormat="1" x14ac:dyDescent="0.3"/>
    <row r="5025" s="1" customFormat="1" x14ac:dyDescent="0.3"/>
    <row r="5026" s="1" customFormat="1" x14ac:dyDescent="0.3"/>
    <row r="5027" s="1" customFormat="1" x14ac:dyDescent="0.3"/>
    <row r="5028" s="1" customFormat="1" x14ac:dyDescent="0.3"/>
    <row r="5029" s="1" customFormat="1" x14ac:dyDescent="0.3"/>
    <row r="5030" s="1" customFormat="1" x14ac:dyDescent="0.3"/>
    <row r="5031" s="1" customFormat="1" x14ac:dyDescent="0.3"/>
    <row r="5032" s="1" customFormat="1" x14ac:dyDescent="0.3"/>
    <row r="5033" s="1" customFormat="1" x14ac:dyDescent="0.3"/>
    <row r="5034" s="1" customFormat="1" x14ac:dyDescent="0.3"/>
    <row r="5035" s="1" customFormat="1" x14ac:dyDescent="0.3"/>
    <row r="5036" s="1" customFormat="1" x14ac:dyDescent="0.3"/>
    <row r="5037" s="1" customFormat="1" x14ac:dyDescent="0.3"/>
    <row r="5038" s="1" customFormat="1" x14ac:dyDescent="0.3"/>
    <row r="5039" s="1" customFormat="1" x14ac:dyDescent="0.3"/>
    <row r="5040" s="1" customFormat="1" x14ac:dyDescent="0.3"/>
    <row r="5041" s="1" customFormat="1" x14ac:dyDescent="0.3"/>
    <row r="5042" s="1" customFormat="1" x14ac:dyDescent="0.3"/>
    <row r="5043" s="1" customFormat="1" x14ac:dyDescent="0.3"/>
    <row r="5044" s="1" customFormat="1" x14ac:dyDescent="0.3"/>
    <row r="5045" s="1" customFormat="1" x14ac:dyDescent="0.3"/>
    <row r="5046" s="1" customFormat="1" x14ac:dyDescent="0.3"/>
    <row r="5047" s="1" customFormat="1" x14ac:dyDescent="0.3"/>
    <row r="5048" s="1" customFormat="1" x14ac:dyDescent="0.3"/>
    <row r="5049" s="1" customFormat="1" x14ac:dyDescent="0.3"/>
    <row r="5050" s="1" customFormat="1" x14ac:dyDescent="0.3"/>
    <row r="5051" s="1" customFormat="1" x14ac:dyDescent="0.3"/>
    <row r="5052" s="1" customFormat="1" x14ac:dyDescent="0.3"/>
    <row r="5053" s="1" customFormat="1" x14ac:dyDescent="0.3"/>
    <row r="5054" s="1" customFormat="1" x14ac:dyDescent="0.3"/>
    <row r="5055" s="1" customFormat="1" x14ac:dyDescent="0.3"/>
    <row r="5056" s="1" customFormat="1" x14ac:dyDescent="0.3"/>
    <row r="5057" s="1" customFormat="1" x14ac:dyDescent="0.3"/>
    <row r="5058" s="1" customFormat="1" x14ac:dyDescent="0.3"/>
    <row r="5059" s="1" customFormat="1" x14ac:dyDescent="0.3"/>
    <row r="5060" s="1" customFormat="1" x14ac:dyDescent="0.3"/>
    <row r="5061" s="1" customFormat="1" x14ac:dyDescent="0.3"/>
    <row r="5062" s="1" customFormat="1" x14ac:dyDescent="0.3"/>
    <row r="5063" s="1" customFormat="1" x14ac:dyDescent="0.3"/>
    <row r="5064" s="1" customFormat="1" x14ac:dyDescent="0.3"/>
    <row r="5065" s="1" customFormat="1" x14ac:dyDescent="0.3"/>
    <row r="5066" s="1" customFormat="1" x14ac:dyDescent="0.3"/>
    <row r="5067" s="1" customFormat="1" x14ac:dyDescent="0.3"/>
    <row r="5068" s="1" customFormat="1" x14ac:dyDescent="0.3"/>
    <row r="5069" s="1" customFormat="1" x14ac:dyDescent="0.3"/>
    <row r="5070" s="1" customFormat="1" x14ac:dyDescent="0.3"/>
    <row r="5071" s="1" customFormat="1" x14ac:dyDescent="0.3"/>
    <row r="5072" s="1" customFormat="1" x14ac:dyDescent="0.3"/>
    <row r="5073" s="1" customFormat="1" x14ac:dyDescent="0.3"/>
    <row r="5074" s="1" customFormat="1" x14ac:dyDescent="0.3"/>
    <row r="5075" s="1" customFormat="1" x14ac:dyDescent="0.3"/>
    <row r="5076" s="1" customFormat="1" x14ac:dyDescent="0.3"/>
    <row r="5077" s="1" customFormat="1" x14ac:dyDescent="0.3"/>
    <row r="5078" s="1" customFormat="1" x14ac:dyDescent="0.3"/>
    <row r="5079" s="1" customFormat="1" x14ac:dyDescent="0.3"/>
    <row r="5080" s="1" customFormat="1" x14ac:dyDescent="0.3"/>
    <row r="5081" s="1" customFormat="1" x14ac:dyDescent="0.3"/>
    <row r="5082" s="1" customFormat="1" x14ac:dyDescent="0.3"/>
    <row r="5083" s="1" customFormat="1" x14ac:dyDescent="0.3"/>
    <row r="5084" s="1" customFormat="1" x14ac:dyDescent="0.3"/>
    <row r="5085" s="1" customFormat="1" x14ac:dyDescent="0.3"/>
    <row r="5086" s="1" customFormat="1" x14ac:dyDescent="0.3"/>
    <row r="5087" s="1" customFormat="1" x14ac:dyDescent="0.3"/>
    <row r="5088" s="1" customFormat="1" x14ac:dyDescent="0.3"/>
    <row r="5089" s="1" customFormat="1" x14ac:dyDescent="0.3"/>
    <row r="5090" s="1" customFormat="1" x14ac:dyDescent="0.3"/>
    <row r="5091" s="1" customFormat="1" x14ac:dyDescent="0.3"/>
    <row r="5092" s="1" customFormat="1" x14ac:dyDescent="0.3"/>
    <row r="5093" s="1" customFormat="1" x14ac:dyDescent="0.3"/>
    <row r="5094" s="1" customFormat="1" x14ac:dyDescent="0.3"/>
    <row r="5095" s="1" customFormat="1" x14ac:dyDescent="0.3"/>
    <row r="5096" s="1" customFormat="1" x14ac:dyDescent="0.3"/>
    <row r="5097" s="1" customFormat="1" x14ac:dyDescent="0.3"/>
    <row r="5098" s="1" customFormat="1" x14ac:dyDescent="0.3"/>
    <row r="5099" s="1" customFormat="1" x14ac:dyDescent="0.3"/>
    <row r="5100" s="1" customFormat="1" x14ac:dyDescent="0.3"/>
    <row r="5101" s="1" customFormat="1" x14ac:dyDescent="0.3"/>
    <row r="5102" s="1" customFormat="1" x14ac:dyDescent="0.3"/>
    <row r="5103" s="1" customFormat="1" x14ac:dyDescent="0.3"/>
    <row r="5104" s="1" customFormat="1" x14ac:dyDescent="0.3"/>
    <row r="5105" s="1" customFormat="1" x14ac:dyDescent="0.3"/>
    <row r="5106" s="1" customFormat="1" x14ac:dyDescent="0.3"/>
    <row r="5107" s="1" customFormat="1" x14ac:dyDescent="0.3"/>
    <row r="5108" s="1" customFormat="1" x14ac:dyDescent="0.3"/>
    <row r="5109" s="1" customFormat="1" x14ac:dyDescent="0.3"/>
    <row r="5110" s="1" customFormat="1" x14ac:dyDescent="0.3"/>
    <row r="5111" s="1" customFormat="1" x14ac:dyDescent="0.3"/>
    <row r="5112" s="1" customFormat="1" x14ac:dyDescent="0.3"/>
    <row r="5113" s="1" customFormat="1" x14ac:dyDescent="0.3"/>
    <row r="5114" s="1" customFormat="1" x14ac:dyDescent="0.3"/>
    <row r="5115" s="1" customFormat="1" x14ac:dyDescent="0.3"/>
    <row r="5116" s="1" customFormat="1" x14ac:dyDescent="0.3"/>
    <row r="5117" s="1" customFormat="1" x14ac:dyDescent="0.3"/>
    <row r="5118" s="1" customFormat="1" x14ac:dyDescent="0.3"/>
    <row r="5119" s="1" customFormat="1" x14ac:dyDescent="0.3"/>
    <row r="5120" s="1" customFormat="1" x14ac:dyDescent="0.3"/>
    <row r="5121" s="1" customFormat="1" x14ac:dyDescent="0.3"/>
    <row r="5122" s="1" customFormat="1" x14ac:dyDescent="0.3"/>
    <row r="5123" s="1" customFormat="1" x14ac:dyDescent="0.3"/>
    <row r="5124" s="1" customFormat="1" x14ac:dyDescent="0.3"/>
    <row r="5125" s="1" customFormat="1" x14ac:dyDescent="0.3"/>
    <row r="5126" s="1" customFormat="1" x14ac:dyDescent="0.3"/>
    <row r="5127" s="1" customFormat="1" x14ac:dyDescent="0.3"/>
    <row r="5128" s="1" customFormat="1" x14ac:dyDescent="0.3"/>
    <row r="5129" s="1" customFormat="1" x14ac:dyDescent="0.3"/>
    <row r="5130" s="1" customFormat="1" x14ac:dyDescent="0.3"/>
    <row r="5131" s="1" customFormat="1" x14ac:dyDescent="0.3"/>
    <row r="5132" s="1" customFormat="1" x14ac:dyDescent="0.3"/>
    <row r="5133" s="1" customFormat="1" x14ac:dyDescent="0.3"/>
    <row r="5134" s="1" customFormat="1" x14ac:dyDescent="0.3"/>
    <row r="5135" s="1" customFormat="1" x14ac:dyDescent="0.3"/>
    <row r="5136" s="1" customFormat="1" x14ac:dyDescent="0.3"/>
    <row r="5137" s="1" customFormat="1" x14ac:dyDescent="0.3"/>
    <row r="5138" s="1" customFormat="1" x14ac:dyDescent="0.3"/>
    <row r="5139" s="1" customFormat="1" x14ac:dyDescent="0.3"/>
    <row r="5140" s="1" customFormat="1" x14ac:dyDescent="0.3"/>
    <row r="5141" s="1" customFormat="1" x14ac:dyDescent="0.3"/>
    <row r="5142" s="1" customFormat="1" x14ac:dyDescent="0.3"/>
    <row r="5143" s="1" customFormat="1" x14ac:dyDescent="0.3"/>
    <row r="5144" s="1" customFormat="1" x14ac:dyDescent="0.3"/>
    <row r="5145" s="1" customFormat="1" x14ac:dyDescent="0.3"/>
    <row r="5146" s="1" customFormat="1" x14ac:dyDescent="0.3"/>
    <row r="5147" s="1" customFormat="1" x14ac:dyDescent="0.3"/>
    <row r="5148" s="1" customFormat="1" x14ac:dyDescent="0.3"/>
    <row r="5149" s="1" customFormat="1" x14ac:dyDescent="0.3"/>
    <row r="5150" s="1" customFormat="1" x14ac:dyDescent="0.3"/>
    <row r="5151" s="1" customFormat="1" x14ac:dyDescent="0.3"/>
    <row r="5152" s="1" customFormat="1" x14ac:dyDescent="0.3"/>
    <row r="5153" s="1" customFormat="1" x14ac:dyDescent="0.3"/>
    <row r="5154" s="1" customFormat="1" x14ac:dyDescent="0.3"/>
    <row r="5155" s="1" customFormat="1" x14ac:dyDescent="0.3"/>
    <row r="5156" s="1" customFormat="1" x14ac:dyDescent="0.3"/>
    <row r="5157" s="1" customFormat="1" x14ac:dyDescent="0.3"/>
    <row r="5158" s="1" customFormat="1" x14ac:dyDescent="0.3"/>
    <row r="5159" s="1" customFormat="1" x14ac:dyDescent="0.3"/>
    <row r="5160" s="1" customFormat="1" x14ac:dyDescent="0.3"/>
    <row r="5161" s="1" customFormat="1" x14ac:dyDescent="0.3"/>
    <row r="5162" s="1" customFormat="1" x14ac:dyDescent="0.3"/>
    <row r="5163" s="1" customFormat="1" x14ac:dyDescent="0.3"/>
    <row r="5164" s="1" customFormat="1" x14ac:dyDescent="0.3"/>
    <row r="5165" s="1" customFormat="1" x14ac:dyDescent="0.3"/>
    <row r="5166" s="1" customFormat="1" x14ac:dyDescent="0.3"/>
    <row r="5167" s="1" customFormat="1" x14ac:dyDescent="0.3"/>
    <row r="5168" s="1" customFormat="1" x14ac:dyDescent="0.3"/>
    <row r="5169" s="1" customFormat="1" x14ac:dyDescent="0.3"/>
    <row r="5170" s="1" customFormat="1" x14ac:dyDescent="0.3"/>
    <row r="5171" s="1" customFormat="1" x14ac:dyDescent="0.3"/>
    <row r="5172" s="1" customFormat="1" x14ac:dyDescent="0.3"/>
    <row r="5173" s="1" customFormat="1" x14ac:dyDescent="0.3"/>
    <row r="5174" s="1" customFormat="1" x14ac:dyDescent="0.3"/>
    <row r="5175" s="1" customFormat="1" x14ac:dyDescent="0.3"/>
    <row r="5176" s="1" customFormat="1" x14ac:dyDescent="0.3"/>
    <row r="5177" s="1" customFormat="1" x14ac:dyDescent="0.3"/>
    <row r="5178" s="1" customFormat="1" x14ac:dyDescent="0.3"/>
    <row r="5179" s="1" customFormat="1" x14ac:dyDescent="0.3"/>
    <row r="5180" s="1" customFormat="1" x14ac:dyDescent="0.3"/>
    <row r="5181" s="1" customFormat="1" x14ac:dyDescent="0.3"/>
    <row r="5182" s="1" customFormat="1" x14ac:dyDescent="0.3"/>
    <row r="5183" s="1" customFormat="1" x14ac:dyDescent="0.3"/>
    <row r="5184" s="1" customFormat="1" x14ac:dyDescent="0.3"/>
    <row r="5185" s="1" customFormat="1" x14ac:dyDescent="0.3"/>
    <row r="5186" s="1" customFormat="1" x14ac:dyDescent="0.3"/>
    <row r="5187" s="1" customFormat="1" x14ac:dyDescent="0.3"/>
    <row r="5188" s="1" customFormat="1" x14ac:dyDescent="0.3"/>
    <row r="5189" s="1" customFormat="1" x14ac:dyDescent="0.3"/>
    <row r="5190" s="1" customFormat="1" x14ac:dyDescent="0.3"/>
    <row r="5191" s="1" customFormat="1" x14ac:dyDescent="0.3"/>
    <row r="5192" s="1" customFormat="1" x14ac:dyDescent="0.3"/>
    <row r="5193" s="1" customFormat="1" x14ac:dyDescent="0.3"/>
    <row r="5194" s="1" customFormat="1" x14ac:dyDescent="0.3"/>
    <row r="5195" s="1" customFormat="1" x14ac:dyDescent="0.3"/>
    <row r="5196" s="1" customFormat="1" x14ac:dyDescent="0.3"/>
    <row r="5197" s="1" customFormat="1" x14ac:dyDescent="0.3"/>
    <row r="5198" s="1" customFormat="1" x14ac:dyDescent="0.3"/>
    <row r="5199" s="1" customFormat="1" x14ac:dyDescent="0.3"/>
    <row r="5200" s="1" customFormat="1" x14ac:dyDescent="0.3"/>
    <row r="5201" s="1" customFormat="1" x14ac:dyDescent="0.3"/>
    <row r="5202" s="1" customFormat="1" x14ac:dyDescent="0.3"/>
    <row r="5203" s="1" customFormat="1" x14ac:dyDescent="0.3"/>
    <row r="5204" s="1" customFormat="1" x14ac:dyDescent="0.3"/>
    <row r="5205" s="1" customFormat="1" x14ac:dyDescent="0.3"/>
    <row r="5206" s="1" customFormat="1" x14ac:dyDescent="0.3"/>
    <row r="5207" s="1" customFormat="1" x14ac:dyDescent="0.3"/>
    <row r="5208" s="1" customFormat="1" x14ac:dyDescent="0.3"/>
    <row r="5209" s="1" customFormat="1" x14ac:dyDescent="0.3"/>
    <row r="5210" s="1" customFormat="1" x14ac:dyDescent="0.3"/>
    <row r="5211" s="1" customFormat="1" x14ac:dyDescent="0.3"/>
    <row r="5212" s="1" customFormat="1" x14ac:dyDescent="0.3"/>
    <row r="5213" s="1" customFormat="1" x14ac:dyDescent="0.3"/>
    <row r="5214" s="1" customFormat="1" x14ac:dyDescent="0.3"/>
    <row r="5215" s="1" customFormat="1" x14ac:dyDescent="0.3"/>
    <row r="5216" s="1" customFormat="1" x14ac:dyDescent="0.3"/>
    <row r="5217" s="1" customFormat="1" x14ac:dyDescent="0.3"/>
    <row r="5218" s="1" customFormat="1" x14ac:dyDescent="0.3"/>
    <row r="5219" s="1" customFormat="1" x14ac:dyDescent="0.3"/>
    <row r="5220" s="1" customFormat="1" x14ac:dyDescent="0.3"/>
    <row r="5221" s="1" customFormat="1" x14ac:dyDescent="0.3"/>
    <row r="5222" s="1" customFormat="1" x14ac:dyDescent="0.3"/>
    <row r="5223" s="1" customFormat="1" x14ac:dyDescent="0.3"/>
    <row r="5224" s="1" customFormat="1" x14ac:dyDescent="0.3"/>
    <row r="5225" s="1" customFormat="1" x14ac:dyDescent="0.3"/>
    <row r="5226" s="1" customFormat="1" x14ac:dyDescent="0.3"/>
    <row r="5227" s="1" customFormat="1" x14ac:dyDescent="0.3"/>
    <row r="5228" s="1" customFormat="1" x14ac:dyDescent="0.3"/>
    <row r="5229" s="1" customFormat="1" x14ac:dyDescent="0.3"/>
    <row r="5230" s="1" customFormat="1" x14ac:dyDescent="0.3"/>
    <row r="5231" s="1" customFormat="1" x14ac:dyDescent="0.3"/>
    <row r="5232" s="1" customFormat="1" x14ac:dyDescent="0.3"/>
    <row r="5233" s="1" customFormat="1" x14ac:dyDescent="0.3"/>
    <row r="5234" s="1" customFormat="1" x14ac:dyDescent="0.3"/>
    <row r="5235" s="1" customFormat="1" x14ac:dyDescent="0.3"/>
    <row r="5236" s="1" customFormat="1" x14ac:dyDescent="0.3"/>
    <row r="5237" s="1" customFormat="1" x14ac:dyDescent="0.3"/>
    <row r="5238" s="1" customFormat="1" x14ac:dyDescent="0.3"/>
    <row r="5239" s="1" customFormat="1" x14ac:dyDescent="0.3"/>
    <row r="5240" s="1" customFormat="1" x14ac:dyDescent="0.3"/>
    <row r="5241" s="1" customFormat="1" x14ac:dyDescent="0.3"/>
    <row r="5242" s="1" customFormat="1" x14ac:dyDescent="0.3"/>
    <row r="5243" s="1" customFormat="1" x14ac:dyDescent="0.3"/>
    <row r="5244" s="1" customFormat="1" x14ac:dyDescent="0.3"/>
    <row r="5245" s="1" customFormat="1" x14ac:dyDescent="0.3"/>
    <row r="5246" s="1" customFormat="1" x14ac:dyDescent="0.3"/>
    <row r="5247" s="1" customFormat="1" x14ac:dyDescent="0.3"/>
    <row r="5248" s="1" customFormat="1" x14ac:dyDescent="0.3"/>
    <row r="5249" s="1" customFormat="1" x14ac:dyDescent="0.3"/>
    <row r="5250" s="1" customFormat="1" x14ac:dyDescent="0.3"/>
    <row r="5251" s="1" customFormat="1" x14ac:dyDescent="0.3"/>
    <row r="5252" s="1" customFormat="1" x14ac:dyDescent="0.3"/>
    <row r="5253" s="1" customFormat="1" x14ac:dyDescent="0.3"/>
    <row r="5254" s="1" customFormat="1" x14ac:dyDescent="0.3"/>
    <row r="5255" s="1" customFormat="1" x14ac:dyDescent="0.3"/>
    <row r="5256" s="1" customFormat="1" x14ac:dyDescent="0.3"/>
    <row r="5257" s="1" customFormat="1" x14ac:dyDescent="0.3"/>
    <row r="5258" s="1" customFormat="1" x14ac:dyDescent="0.3"/>
    <row r="5259" s="1" customFormat="1" x14ac:dyDescent="0.3"/>
    <row r="5260" s="1" customFormat="1" x14ac:dyDescent="0.3"/>
    <row r="5261" s="1" customFormat="1" x14ac:dyDescent="0.3"/>
    <row r="5262" s="1" customFormat="1" x14ac:dyDescent="0.3"/>
    <row r="5263" s="1" customFormat="1" x14ac:dyDescent="0.3"/>
    <row r="5264" s="1" customFormat="1" x14ac:dyDescent="0.3"/>
    <row r="5265" s="1" customFormat="1" x14ac:dyDescent="0.3"/>
    <row r="5266" s="1" customFormat="1" x14ac:dyDescent="0.3"/>
    <row r="5267" s="1" customFormat="1" x14ac:dyDescent="0.3"/>
    <row r="5268" s="1" customFormat="1" x14ac:dyDescent="0.3"/>
    <row r="5269" s="1" customFormat="1" x14ac:dyDescent="0.3"/>
    <row r="5270" s="1" customFormat="1" x14ac:dyDescent="0.3"/>
    <row r="5271" s="1" customFormat="1" x14ac:dyDescent="0.3"/>
    <row r="5272" s="1" customFormat="1" x14ac:dyDescent="0.3"/>
    <row r="5273" s="1" customFormat="1" x14ac:dyDescent="0.3"/>
    <row r="5274" s="1" customFormat="1" x14ac:dyDescent="0.3"/>
    <row r="5275" s="1" customFormat="1" x14ac:dyDescent="0.3"/>
    <row r="5276" s="1" customFormat="1" x14ac:dyDescent="0.3"/>
    <row r="5277" s="1" customFormat="1" x14ac:dyDescent="0.3"/>
    <row r="5278" s="1" customFormat="1" x14ac:dyDescent="0.3"/>
    <row r="5279" s="1" customFormat="1" x14ac:dyDescent="0.3"/>
    <row r="5280" s="1" customFormat="1" x14ac:dyDescent="0.3"/>
    <row r="5281" s="1" customFormat="1" x14ac:dyDescent="0.3"/>
    <row r="5282" s="1" customFormat="1" x14ac:dyDescent="0.3"/>
    <row r="5283" s="1" customFormat="1" x14ac:dyDescent="0.3"/>
    <row r="5284" s="1" customFormat="1" x14ac:dyDescent="0.3"/>
    <row r="5285" s="1" customFormat="1" x14ac:dyDescent="0.3"/>
    <row r="5286" s="1" customFormat="1" x14ac:dyDescent="0.3"/>
    <row r="5287" s="1" customFormat="1" x14ac:dyDescent="0.3"/>
    <row r="5288" s="1" customFormat="1" x14ac:dyDescent="0.3"/>
    <row r="5289" s="1" customFormat="1" x14ac:dyDescent="0.3"/>
    <row r="5290" s="1" customFormat="1" x14ac:dyDescent="0.3"/>
    <row r="5291" s="1" customFormat="1" x14ac:dyDescent="0.3"/>
    <row r="5292" s="1" customFormat="1" x14ac:dyDescent="0.3"/>
    <row r="5293" s="1" customFormat="1" x14ac:dyDescent="0.3"/>
    <row r="5294" s="1" customFormat="1" x14ac:dyDescent="0.3"/>
    <row r="5295" s="1" customFormat="1" x14ac:dyDescent="0.3"/>
    <row r="5296" s="1" customFormat="1" x14ac:dyDescent="0.3"/>
    <row r="5297" s="1" customFormat="1" x14ac:dyDescent="0.3"/>
    <row r="5298" s="1" customFormat="1" x14ac:dyDescent="0.3"/>
    <row r="5299" s="1" customFormat="1" x14ac:dyDescent="0.3"/>
    <row r="5300" s="1" customFormat="1" x14ac:dyDescent="0.3"/>
    <row r="5301" s="1" customFormat="1" x14ac:dyDescent="0.3"/>
    <row r="5302" s="1" customFormat="1" x14ac:dyDescent="0.3"/>
    <row r="5303" s="1" customFormat="1" x14ac:dyDescent="0.3"/>
    <row r="5304" s="1" customFormat="1" x14ac:dyDescent="0.3"/>
    <row r="5305" s="1" customFormat="1" x14ac:dyDescent="0.3"/>
    <row r="5306" s="1" customFormat="1" x14ac:dyDescent="0.3"/>
    <row r="5307" s="1" customFormat="1" x14ac:dyDescent="0.3"/>
    <row r="5308" s="1" customFormat="1" x14ac:dyDescent="0.3"/>
    <row r="5309" s="1" customFormat="1" x14ac:dyDescent="0.3"/>
    <row r="5310" s="1" customFormat="1" x14ac:dyDescent="0.3"/>
    <row r="5311" s="1" customFormat="1" x14ac:dyDescent="0.3"/>
    <row r="5312" s="1" customFormat="1" x14ac:dyDescent="0.3"/>
    <row r="5313" s="1" customFormat="1" x14ac:dyDescent="0.3"/>
    <row r="5314" s="1" customFormat="1" x14ac:dyDescent="0.3"/>
    <row r="5315" s="1" customFormat="1" x14ac:dyDescent="0.3"/>
    <row r="5316" s="1" customFormat="1" x14ac:dyDescent="0.3"/>
    <row r="5317" s="1" customFormat="1" x14ac:dyDescent="0.3"/>
    <row r="5318" s="1" customFormat="1" x14ac:dyDescent="0.3"/>
    <row r="5319" s="1" customFormat="1" x14ac:dyDescent="0.3"/>
    <row r="5320" s="1" customFormat="1" x14ac:dyDescent="0.3"/>
    <row r="5321" s="1" customFormat="1" x14ac:dyDescent="0.3"/>
    <row r="5322" s="1" customFormat="1" x14ac:dyDescent="0.3"/>
    <row r="5323" s="1" customFormat="1" x14ac:dyDescent="0.3"/>
    <row r="5324" s="1" customFormat="1" x14ac:dyDescent="0.3"/>
    <row r="5325" s="1" customFormat="1" x14ac:dyDescent="0.3"/>
    <row r="5326" s="1" customFormat="1" x14ac:dyDescent="0.3"/>
    <row r="5327" s="1" customFormat="1" x14ac:dyDescent="0.3"/>
    <row r="5328" s="1" customFormat="1" x14ac:dyDescent="0.3"/>
    <row r="5329" s="1" customFormat="1" x14ac:dyDescent="0.3"/>
    <row r="5330" s="1" customFormat="1" x14ac:dyDescent="0.3"/>
    <row r="5331" s="1" customFormat="1" x14ac:dyDescent="0.3"/>
    <row r="5332" s="1" customFormat="1" x14ac:dyDescent="0.3"/>
    <row r="5333" s="1" customFormat="1" x14ac:dyDescent="0.3"/>
    <row r="5334" s="1" customFormat="1" x14ac:dyDescent="0.3"/>
    <row r="5335" s="1" customFormat="1" x14ac:dyDescent="0.3"/>
    <row r="5336" s="1" customFormat="1" x14ac:dyDescent="0.3"/>
    <row r="5337" s="1" customFormat="1" x14ac:dyDescent="0.3"/>
    <row r="5338" s="1" customFormat="1" x14ac:dyDescent="0.3"/>
    <row r="5339" s="1" customFormat="1" x14ac:dyDescent="0.3"/>
    <row r="5340" s="1" customFormat="1" x14ac:dyDescent="0.3"/>
    <row r="5341" s="1" customFormat="1" x14ac:dyDescent="0.3"/>
    <row r="5342" s="1" customFormat="1" x14ac:dyDescent="0.3"/>
    <row r="5343" s="1" customFormat="1" x14ac:dyDescent="0.3"/>
    <row r="5344" s="1" customFormat="1" x14ac:dyDescent="0.3"/>
    <row r="5345" s="1" customFormat="1" x14ac:dyDescent="0.3"/>
    <row r="5346" s="1" customFormat="1" x14ac:dyDescent="0.3"/>
    <row r="5347" s="1" customFormat="1" x14ac:dyDescent="0.3"/>
    <row r="5348" s="1" customFormat="1" x14ac:dyDescent="0.3"/>
    <row r="5349" s="1" customFormat="1" x14ac:dyDescent="0.3"/>
    <row r="5350" s="1" customFormat="1" x14ac:dyDescent="0.3"/>
    <row r="5351" s="1" customFormat="1" x14ac:dyDescent="0.3"/>
    <row r="5352" s="1" customFormat="1" x14ac:dyDescent="0.3"/>
    <row r="5353" s="1" customFormat="1" x14ac:dyDescent="0.3"/>
    <row r="5354" s="1" customFormat="1" x14ac:dyDescent="0.3"/>
    <row r="5355" s="1" customFormat="1" x14ac:dyDescent="0.3"/>
    <row r="5356" s="1" customFormat="1" x14ac:dyDescent="0.3"/>
    <row r="5357" s="1" customFormat="1" x14ac:dyDescent="0.3"/>
    <row r="5358" s="1" customFormat="1" x14ac:dyDescent="0.3"/>
    <row r="5359" s="1" customFormat="1" x14ac:dyDescent="0.3"/>
    <row r="5360" s="1" customFormat="1" x14ac:dyDescent="0.3"/>
    <row r="5361" s="1" customFormat="1" x14ac:dyDescent="0.3"/>
    <row r="5362" s="1" customFormat="1" x14ac:dyDescent="0.3"/>
    <row r="5363" s="1" customFormat="1" x14ac:dyDescent="0.3"/>
    <row r="5364" s="1" customFormat="1" x14ac:dyDescent="0.3"/>
    <row r="5365" s="1" customFormat="1" x14ac:dyDescent="0.3"/>
    <row r="5366" s="1" customFormat="1" x14ac:dyDescent="0.3"/>
    <row r="5367" s="1" customFormat="1" x14ac:dyDescent="0.3"/>
    <row r="5368" s="1" customFormat="1" x14ac:dyDescent="0.3"/>
    <row r="5369" s="1" customFormat="1" x14ac:dyDescent="0.3"/>
    <row r="5370" s="1" customFormat="1" x14ac:dyDescent="0.3"/>
    <row r="5371" s="1" customFormat="1" x14ac:dyDescent="0.3"/>
    <row r="5372" s="1" customFormat="1" x14ac:dyDescent="0.3"/>
    <row r="5373" s="1" customFormat="1" x14ac:dyDescent="0.3"/>
    <row r="5374" s="1" customFormat="1" x14ac:dyDescent="0.3"/>
    <row r="5375" s="1" customFormat="1" x14ac:dyDescent="0.3"/>
    <row r="5376" s="1" customFormat="1" x14ac:dyDescent="0.3"/>
    <row r="5377" s="1" customFormat="1" x14ac:dyDescent="0.3"/>
    <row r="5378" s="1" customFormat="1" x14ac:dyDescent="0.3"/>
    <row r="5379" s="1" customFormat="1" x14ac:dyDescent="0.3"/>
    <row r="5380" s="1" customFormat="1" x14ac:dyDescent="0.3"/>
    <row r="5381" s="1" customFormat="1" x14ac:dyDescent="0.3"/>
    <row r="5382" s="1" customFormat="1" x14ac:dyDescent="0.3"/>
    <row r="5383" s="1" customFormat="1" x14ac:dyDescent="0.3"/>
    <row r="5384" s="1" customFormat="1" x14ac:dyDescent="0.3"/>
    <row r="5385" s="1" customFormat="1" x14ac:dyDescent="0.3"/>
    <row r="5386" s="1" customFormat="1" x14ac:dyDescent="0.3"/>
    <row r="5387" s="1" customFormat="1" x14ac:dyDescent="0.3"/>
    <row r="5388" s="1" customFormat="1" x14ac:dyDescent="0.3"/>
    <row r="5389" s="1" customFormat="1" x14ac:dyDescent="0.3"/>
    <row r="5390" s="1" customFormat="1" x14ac:dyDescent="0.3"/>
    <row r="5391" s="1" customFormat="1" x14ac:dyDescent="0.3"/>
    <row r="5392" s="1" customFormat="1" x14ac:dyDescent="0.3"/>
    <row r="5393" s="1" customFormat="1" x14ac:dyDescent="0.3"/>
    <row r="5394" s="1" customFormat="1" x14ac:dyDescent="0.3"/>
    <row r="5395" s="1" customFormat="1" x14ac:dyDescent="0.3"/>
    <row r="5396" s="1" customFormat="1" x14ac:dyDescent="0.3"/>
    <row r="5397" s="1" customFormat="1" x14ac:dyDescent="0.3"/>
    <row r="5398" s="1" customFormat="1" x14ac:dyDescent="0.3"/>
    <row r="5399" s="1" customFormat="1" x14ac:dyDescent="0.3"/>
    <row r="5400" s="1" customFormat="1" x14ac:dyDescent="0.3"/>
    <row r="5401" s="1" customFormat="1" x14ac:dyDescent="0.3"/>
    <row r="5402" s="1" customFormat="1" x14ac:dyDescent="0.3"/>
    <row r="5403" s="1" customFormat="1" x14ac:dyDescent="0.3"/>
    <row r="5404" s="1" customFormat="1" x14ac:dyDescent="0.3"/>
    <row r="5405" s="1" customFormat="1" x14ac:dyDescent="0.3"/>
    <row r="5406" s="1" customFormat="1" x14ac:dyDescent="0.3"/>
    <row r="5407" s="1" customFormat="1" x14ac:dyDescent="0.3"/>
    <row r="5408" s="1" customFormat="1" x14ac:dyDescent="0.3"/>
    <row r="5409" s="1" customFormat="1" x14ac:dyDescent="0.3"/>
    <row r="5410" s="1" customFormat="1" x14ac:dyDescent="0.3"/>
    <row r="5411" s="1" customFormat="1" x14ac:dyDescent="0.3"/>
    <row r="5412" s="1" customFormat="1" x14ac:dyDescent="0.3"/>
    <row r="5413" s="1" customFormat="1" x14ac:dyDescent="0.3"/>
    <row r="5414" s="1" customFormat="1" x14ac:dyDescent="0.3"/>
    <row r="5415" s="1" customFormat="1" x14ac:dyDescent="0.3"/>
    <row r="5416" s="1" customFormat="1" x14ac:dyDescent="0.3"/>
    <row r="5417" s="1" customFormat="1" x14ac:dyDescent="0.3"/>
    <row r="5418" s="1" customFormat="1" x14ac:dyDescent="0.3"/>
    <row r="5419" s="1" customFormat="1" x14ac:dyDescent="0.3"/>
    <row r="5420" s="1" customFormat="1" x14ac:dyDescent="0.3"/>
    <row r="5421" s="1" customFormat="1" x14ac:dyDescent="0.3"/>
    <row r="5422" s="1" customFormat="1" x14ac:dyDescent="0.3"/>
    <row r="5423" s="1" customFormat="1" x14ac:dyDescent="0.3"/>
    <row r="5424" s="1" customFormat="1" x14ac:dyDescent="0.3"/>
    <row r="5425" s="1" customFormat="1" x14ac:dyDescent="0.3"/>
    <row r="5426" s="1" customFormat="1" x14ac:dyDescent="0.3"/>
    <row r="5427" s="1" customFormat="1" x14ac:dyDescent="0.3"/>
    <row r="5428" s="1" customFormat="1" x14ac:dyDescent="0.3"/>
    <row r="5429" s="1" customFormat="1" x14ac:dyDescent="0.3"/>
    <row r="5430" s="1" customFormat="1" x14ac:dyDescent="0.3"/>
    <row r="5431" s="1" customFormat="1" x14ac:dyDescent="0.3"/>
    <row r="5432" s="1" customFormat="1" x14ac:dyDescent="0.3"/>
    <row r="5433" s="1" customFormat="1" x14ac:dyDescent="0.3"/>
    <row r="5434" s="1" customFormat="1" x14ac:dyDescent="0.3"/>
    <row r="5435" s="1" customFormat="1" x14ac:dyDescent="0.3"/>
    <row r="5436" s="1" customFormat="1" x14ac:dyDescent="0.3"/>
    <row r="5437" s="1" customFormat="1" x14ac:dyDescent="0.3"/>
    <row r="5438" s="1" customFormat="1" x14ac:dyDescent="0.3"/>
    <row r="5439" s="1" customFormat="1" x14ac:dyDescent="0.3"/>
    <row r="5440" s="1" customFormat="1" x14ac:dyDescent="0.3"/>
    <row r="5441" s="1" customFormat="1" x14ac:dyDescent="0.3"/>
    <row r="5442" s="1" customFormat="1" x14ac:dyDescent="0.3"/>
    <row r="5443" s="1" customFormat="1" x14ac:dyDescent="0.3"/>
    <row r="5444" s="1" customFormat="1" x14ac:dyDescent="0.3"/>
    <row r="5445" s="1" customFormat="1" x14ac:dyDescent="0.3"/>
    <row r="5446" s="1" customFormat="1" x14ac:dyDescent="0.3"/>
    <row r="5447" s="1" customFormat="1" x14ac:dyDescent="0.3"/>
    <row r="5448" s="1" customFormat="1" x14ac:dyDescent="0.3"/>
    <row r="5449" s="1" customFormat="1" x14ac:dyDescent="0.3"/>
    <row r="5450" s="1" customFormat="1" x14ac:dyDescent="0.3"/>
    <row r="5451" s="1" customFormat="1" x14ac:dyDescent="0.3"/>
    <row r="5452" s="1" customFormat="1" x14ac:dyDescent="0.3"/>
    <row r="5453" s="1" customFormat="1" x14ac:dyDescent="0.3"/>
    <row r="5454" s="1" customFormat="1" x14ac:dyDescent="0.3"/>
    <row r="5455" s="1" customFormat="1" x14ac:dyDescent="0.3"/>
    <row r="5456" s="1" customFormat="1" x14ac:dyDescent="0.3"/>
    <row r="5457" s="1" customFormat="1" x14ac:dyDescent="0.3"/>
    <row r="5458" s="1" customFormat="1" x14ac:dyDescent="0.3"/>
    <row r="5459" s="1" customFormat="1" x14ac:dyDescent="0.3"/>
    <row r="5460" s="1" customFormat="1" x14ac:dyDescent="0.3"/>
    <row r="5461" s="1" customFormat="1" x14ac:dyDescent="0.3"/>
    <row r="5462" s="1" customFormat="1" x14ac:dyDescent="0.3"/>
    <row r="5463" s="1" customFormat="1" x14ac:dyDescent="0.3"/>
    <row r="5464" s="1" customFormat="1" x14ac:dyDescent="0.3"/>
    <row r="5465" s="1" customFormat="1" x14ac:dyDescent="0.3"/>
    <row r="5466" s="1" customFormat="1" x14ac:dyDescent="0.3"/>
    <row r="5467" s="1" customFormat="1" x14ac:dyDescent="0.3"/>
    <row r="5468" s="1" customFormat="1" x14ac:dyDescent="0.3"/>
    <row r="5469" s="1" customFormat="1" x14ac:dyDescent="0.3"/>
    <row r="5470" s="1" customFormat="1" x14ac:dyDescent="0.3"/>
    <row r="5471" s="1" customFormat="1" x14ac:dyDescent="0.3"/>
    <row r="5472" s="1" customFormat="1" x14ac:dyDescent="0.3"/>
    <row r="5473" s="1" customFormat="1" x14ac:dyDescent="0.3"/>
    <row r="5474" s="1" customFormat="1" x14ac:dyDescent="0.3"/>
    <row r="5475" s="1" customFormat="1" x14ac:dyDescent="0.3"/>
    <row r="5476" s="1" customFormat="1" x14ac:dyDescent="0.3"/>
    <row r="5477" s="1" customFormat="1" x14ac:dyDescent="0.3"/>
    <row r="5478" s="1" customFormat="1" x14ac:dyDescent="0.3"/>
    <row r="5479" s="1" customFormat="1" x14ac:dyDescent="0.3"/>
    <row r="5480" s="1" customFormat="1" x14ac:dyDescent="0.3"/>
    <row r="5481" s="1" customFormat="1" x14ac:dyDescent="0.3"/>
    <row r="5482" s="1" customFormat="1" x14ac:dyDescent="0.3"/>
    <row r="5483" s="1" customFormat="1" x14ac:dyDescent="0.3"/>
    <row r="5484" s="1" customFormat="1" x14ac:dyDescent="0.3"/>
    <row r="5485" s="1" customFormat="1" x14ac:dyDescent="0.3"/>
    <row r="5486" s="1" customFormat="1" x14ac:dyDescent="0.3"/>
    <row r="5487" s="1" customFormat="1" x14ac:dyDescent="0.3"/>
    <row r="5488" s="1" customFormat="1" x14ac:dyDescent="0.3"/>
    <row r="5489" s="1" customFormat="1" x14ac:dyDescent="0.3"/>
    <row r="5490" s="1" customFormat="1" x14ac:dyDescent="0.3"/>
    <row r="5491" s="1" customFormat="1" x14ac:dyDescent="0.3"/>
    <row r="5492" s="1" customFormat="1" x14ac:dyDescent="0.3"/>
    <row r="5493" s="1" customFormat="1" x14ac:dyDescent="0.3"/>
    <row r="5494" s="1" customFormat="1" x14ac:dyDescent="0.3"/>
    <row r="5495" s="1" customFormat="1" x14ac:dyDescent="0.3"/>
    <row r="5496" s="1" customFormat="1" x14ac:dyDescent="0.3"/>
    <row r="5497" s="1" customFormat="1" x14ac:dyDescent="0.3"/>
    <row r="5498" s="1" customFormat="1" x14ac:dyDescent="0.3"/>
    <row r="5499" s="1" customFormat="1" x14ac:dyDescent="0.3"/>
    <row r="5500" s="1" customFormat="1" x14ac:dyDescent="0.3"/>
    <row r="5501" s="1" customFormat="1" x14ac:dyDescent="0.3"/>
    <row r="5502" s="1" customFormat="1" x14ac:dyDescent="0.3"/>
    <row r="5503" s="1" customFormat="1" x14ac:dyDescent="0.3"/>
    <row r="5504" s="1" customFormat="1" x14ac:dyDescent="0.3"/>
    <row r="5505" s="1" customFormat="1" x14ac:dyDescent="0.3"/>
    <row r="5506" s="1" customFormat="1" x14ac:dyDescent="0.3"/>
    <row r="5507" s="1" customFormat="1" x14ac:dyDescent="0.3"/>
    <row r="5508" s="1" customFormat="1" x14ac:dyDescent="0.3"/>
    <row r="5509" s="1" customFormat="1" x14ac:dyDescent="0.3"/>
    <row r="5510" s="1" customFormat="1" x14ac:dyDescent="0.3"/>
    <row r="5511" s="1" customFormat="1" x14ac:dyDescent="0.3"/>
    <row r="5512" s="1" customFormat="1" x14ac:dyDescent="0.3"/>
    <row r="5513" s="1" customFormat="1" x14ac:dyDescent="0.3"/>
    <row r="5514" s="1" customFormat="1" x14ac:dyDescent="0.3"/>
    <row r="5515" s="1" customFormat="1" x14ac:dyDescent="0.3"/>
    <row r="5516" s="1" customFormat="1" x14ac:dyDescent="0.3"/>
    <row r="5517" s="1" customFormat="1" x14ac:dyDescent="0.3"/>
    <row r="5518" s="1" customFormat="1" x14ac:dyDescent="0.3"/>
    <row r="5519" s="1" customFormat="1" x14ac:dyDescent="0.3"/>
    <row r="5520" s="1" customFormat="1" x14ac:dyDescent="0.3"/>
    <row r="5521" s="1" customFormat="1" x14ac:dyDescent="0.3"/>
    <row r="5522" s="1" customFormat="1" x14ac:dyDescent="0.3"/>
    <row r="5523" s="1" customFormat="1" x14ac:dyDescent="0.3"/>
    <row r="5524" s="1" customFormat="1" x14ac:dyDescent="0.3"/>
    <row r="5525" s="1" customFormat="1" x14ac:dyDescent="0.3"/>
    <row r="5526" s="1" customFormat="1" x14ac:dyDescent="0.3"/>
    <row r="5527" s="1" customFormat="1" x14ac:dyDescent="0.3"/>
    <row r="5528" s="1" customFormat="1" x14ac:dyDescent="0.3"/>
    <row r="5529" s="1" customFormat="1" x14ac:dyDescent="0.3"/>
    <row r="5530" s="1" customFormat="1" x14ac:dyDescent="0.3"/>
    <row r="5531" s="1" customFormat="1" x14ac:dyDescent="0.3"/>
    <row r="5532" s="1" customFormat="1" x14ac:dyDescent="0.3"/>
    <row r="5533" s="1" customFormat="1" x14ac:dyDescent="0.3"/>
    <row r="5534" s="1" customFormat="1" x14ac:dyDescent="0.3"/>
    <row r="5535" s="1" customFormat="1" x14ac:dyDescent="0.3"/>
    <row r="5536" s="1" customFormat="1" x14ac:dyDescent="0.3"/>
    <row r="5537" s="1" customFormat="1" x14ac:dyDescent="0.3"/>
    <row r="5538" s="1" customFormat="1" x14ac:dyDescent="0.3"/>
    <row r="5539" s="1" customFormat="1" x14ac:dyDescent="0.3"/>
    <row r="5540" s="1" customFormat="1" x14ac:dyDescent="0.3"/>
    <row r="5541" s="1" customFormat="1" x14ac:dyDescent="0.3"/>
    <row r="5542" s="1" customFormat="1" x14ac:dyDescent="0.3"/>
    <row r="5543" s="1" customFormat="1" x14ac:dyDescent="0.3"/>
    <row r="5544" s="1" customFormat="1" x14ac:dyDescent="0.3"/>
    <row r="5545" s="1" customFormat="1" x14ac:dyDescent="0.3"/>
    <row r="5546" s="1" customFormat="1" x14ac:dyDescent="0.3"/>
    <row r="5547" s="1" customFormat="1" x14ac:dyDescent="0.3"/>
    <row r="5548" s="1" customFormat="1" x14ac:dyDescent="0.3"/>
    <row r="5549" s="1" customFormat="1" x14ac:dyDescent="0.3"/>
    <row r="5550" s="1" customFormat="1" x14ac:dyDescent="0.3"/>
    <row r="5551" s="1" customFormat="1" x14ac:dyDescent="0.3"/>
    <row r="5552" s="1" customFormat="1" x14ac:dyDescent="0.3"/>
    <row r="5553" s="1" customFormat="1" x14ac:dyDescent="0.3"/>
    <row r="5554" s="1" customFormat="1" x14ac:dyDescent="0.3"/>
    <row r="5555" s="1" customFormat="1" x14ac:dyDescent="0.3"/>
    <row r="5556" s="1" customFormat="1" x14ac:dyDescent="0.3"/>
    <row r="5557" s="1" customFormat="1" x14ac:dyDescent="0.3"/>
    <row r="5558" s="1" customFormat="1" x14ac:dyDescent="0.3"/>
    <row r="5559" s="1" customFormat="1" x14ac:dyDescent="0.3"/>
    <row r="5560" s="1" customFormat="1" x14ac:dyDescent="0.3"/>
    <row r="5561" s="1" customFormat="1" x14ac:dyDescent="0.3"/>
    <row r="5562" s="1" customFormat="1" x14ac:dyDescent="0.3"/>
    <row r="5563" s="1" customFormat="1" x14ac:dyDescent="0.3"/>
    <row r="5564" s="1" customFormat="1" x14ac:dyDescent="0.3"/>
    <row r="5565" s="1" customFormat="1" x14ac:dyDescent="0.3"/>
    <row r="5566" s="1" customFormat="1" x14ac:dyDescent="0.3"/>
    <row r="5567" s="1" customFormat="1" x14ac:dyDescent="0.3"/>
    <row r="5568" s="1" customFormat="1" x14ac:dyDescent="0.3"/>
    <row r="5569" s="1" customFormat="1" x14ac:dyDescent="0.3"/>
    <row r="5570" s="1" customFormat="1" x14ac:dyDescent="0.3"/>
    <row r="5571" s="1" customFormat="1" x14ac:dyDescent="0.3"/>
    <row r="5572" s="1" customFormat="1" x14ac:dyDescent="0.3"/>
    <row r="5573" s="1" customFormat="1" x14ac:dyDescent="0.3"/>
    <row r="5574" s="1" customFormat="1" x14ac:dyDescent="0.3"/>
    <row r="5575" s="1" customFormat="1" x14ac:dyDescent="0.3"/>
    <row r="5576" s="1" customFormat="1" x14ac:dyDescent="0.3"/>
    <row r="5577" s="1" customFormat="1" x14ac:dyDescent="0.3"/>
    <row r="5578" s="1" customFormat="1" x14ac:dyDescent="0.3"/>
    <row r="5579" s="1" customFormat="1" x14ac:dyDescent="0.3"/>
    <row r="5580" s="1" customFormat="1" x14ac:dyDescent="0.3"/>
    <row r="5581" s="1" customFormat="1" x14ac:dyDescent="0.3"/>
    <row r="5582" s="1" customFormat="1" x14ac:dyDescent="0.3"/>
    <row r="5583" s="1" customFormat="1" x14ac:dyDescent="0.3"/>
    <row r="5584" s="1" customFormat="1" x14ac:dyDescent="0.3"/>
    <row r="5585" s="1" customFormat="1" x14ac:dyDescent="0.3"/>
    <row r="5586" s="1" customFormat="1" x14ac:dyDescent="0.3"/>
    <row r="5587" s="1" customFormat="1" x14ac:dyDescent="0.3"/>
    <row r="5588" s="1" customFormat="1" x14ac:dyDescent="0.3"/>
    <row r="5589" s="1" customFormat="1" x14ac:dyDescent="0.3"/>
    <row r="5590" s="1" customFormat="1" x14ac:dyDescent="0.3"/>
    <row r="5591" s="1" customFormat="1" x14ac:dyDescent="0.3"/>
    <row r="5592" s="1" customFormat="1" x14ac:dyDescent="0.3"/>
    <row r="5593" s="1" customFormat="1" x14ac:dyDescent="0.3"/>
    <row r="5594" s="1" customFormat="1" x14ac:dyDescent="0.3"/>
    <row r="5595" s="1" customFormat="1" x14ac:dyDescent="0.3"/>
    <row r="5596" s="1" customFormat="1" x14ac:dyDescent="0.3"/>
    <row r="5597" s="1" customFormat="1" x14ac:dyDescent="0.3"/>
    <row r="5598" s="1" customFormat="1" x14ac:dyDescent="0.3"/>
    <row r="5599" s="1" customFormat="1" x14ac:dyDescent="0.3"/>
    <row r="5600" s="1" customFormat="1" x14ac:dyDescent="0.3"/>
    <row r="5601" s="1" customFormat="1" x14ac:dyDescent="0.3"/>
    <row r="5602" s="1" customFormat="1" x14ac:dyDescent="0.3"/>
    <row r="5603" s="1" customFormat="1" x14ac:dyDescent="0.3"/>
    <row r="5604" s="1" customFormat="1" x14ac:dyDescent="0.3"/>
    <row r="5605" s="1" customFormat="1" x14ac:dyDescent="0.3"/>
    <row r="5606" s="1" customFormat="1" x14ac:dyDescent="0.3"/>
    <row r="5607" s="1" customFormat="1" x14ac:dyDescent="0.3"/>
    <row r="5608" s="1" customFormat="1" x14ac:dyDescent="0.3"/>
    <row r="5609" s="1" customFormat="1" x14ac:dyDescent="0.3"/>
    <row r="5610" s="1" customFormat="1" x14ac:dyDescent="0.3"/>
    <row r="5611" s="1" customFormat="1" x14ac:dyDescent="0.3"/>
    <row r="5612" s="1" customFormat="1" x14ac:dyDescent="0.3"/>
    <row r="5613" s="1" customFormat="1" x14ac:dyDescent="0.3"/>
    <row r="5614" s="1" customFormat="1" x14ac:dyDescent="0.3"/>
    <row r="5615" s="1" customFormat="1" x14ac:dyDescent="0.3"/>
    <row r="5616" s="1" customFormat="1" x14ac:dyDescent="0.3"/>
    <row r="5617" s="1" customFormat="1" x14ac:dyDescent="0.3"/>
    <row r="5618" s="1" customFormat="1" x14ac:dyDescent="0.3"/>
    <row r="5619" s="1" customFormat="1" x14ac:dyDescent="0.3"/>
    <row r="5620" s="1" customFormat="1" x14ac:dyDescent="0.3"/>
    <row r="5621" s="1" customFormat="1" x14ac:dyDescent="0.3"/>
    <row r="5622" s="1" customFormat="1" x14ac:dyDescent="0.3"/>
    <row r="5623" s="1" customFormat="1" x14ac:dyDescent="0.3"/>
    <row r="5624" s="1" customFormat="1" x14ac:dyDescent="0.3"/>
    <row r="5625" s="1" customFormat="1" x14ac:dyDescent="0.3"/>
    <row r="5626" s="1" customFormat="1" x14ac:dyDescent="0.3"/>
    <row r="5627" s="1" customFormat="1" x14ac:dyDescent="0.3"/>
    <row r="5628" s="1" customFormat="1" x14ac:dyDescent="0.3"/>
    <row r="5629" s="1" customFormat="1" x14ac:dyDescent="0.3"/>
    <row r="5630" s="1" customFormat="1" x14ac:dyDescent="0.3"/>
    <row r="5631" s="1" customFormat="1" x14ac:dyDescent="0.3"/>
    <row r="5632" s="1" customFormat="1" x14ac:dyDescent="0.3"/>
    <row r="5633" s="1" customFormat="1" x14ac:dyDescent="0.3"/>
    <row r="5634" s="1" customFormat="1" x14ac:dyDescent="0.3"/>
    <row r="5635" s="1" customFormat="1" x14ac:dyDescent="0.3"/>
    <row r="5636" s="1" customFormat="1" x14ac:dyDescent="0.3"/>
    <row r="5637" s="1" customFormat="1" x14ac:dyDescent="0.3"/>
    <row r="5638" s="1" customFormat="1" x14ac:dyDescent="0.3"/>
    <row r="5639" s="1" customFormat="1" x14ac:dyDescent="0.3"/>
    <row r="5640" s="1" customFormat="1" x14ac:dyDescent="0.3"/>
    <row r="5641" s="1" customFormat="1" x14ac:dyDescent="0.3"/>
    <row r="5642" s="1" customFormat="1" x14ac:dyDescent="0.3"/>
    <row r="5643" s="1" customFormat="1" x14ac:dyDescent="0.3"/>
    <row r="5644" s="1" customFormat="1" x14ac:dyDescent="0.3"/>
    <row r="5645" s="1" customFormat="1" x14ac:dyDescent="0.3"/>
    <row r="5646" s="1" customFormat="1" x14ac:dyDescent="0.3"/>
    <row r="5647" s="1" customFormat="1" x14ac:dyDescent="0.3"/>
    <row r="5648" s="1" customFormat="1" x14ac:dyDescent="0.3"/>
    <row r="5649" s="1" customFormat="1" x14ac:dyDescent="0.3"/>
    <row r="5650" s="1" customFormat="1" x14ac:dyDescent="0.3"/>
    <row r="5651" s="1" customFormat="1" x14ac:dyDescent="0.3"/>
    <row r="5652" s="1" customFormat="1" x14ac:dyDescent="0.3"/>
    <row r="5653" s="1" customFormat="1" x14ac:dyDescent="0.3"/>
    <row r="5654" s="1" customFormat="1" x14ac:dyDescent="0.3"/>
    <row r="5655" s="1" customFormat="1" x14ac:dyDescent="0.3"/>
    <row r="5656" s="1" customFormat="1" x14ac:dyDescent="0.3"/>
    <row r="5657" s="1" customFormat="1" x14ac:dyDescent="0.3"/>
    <row r="5658" s="1" customFormat="1" x14ac:dyDescent="0.3"/>
    <row r="5659" s="1" customFormat="1" x14ac:dyDescent="0.3"/>
    <row r="5660" s="1" customFormat="1" x14ac:dyDescent="0.3"/>
    <row r="5661" s="1" customFormat="1" x14ac:dyDescent="0.3"/>
    <row r="5662" s="1" customFormat="1" x14ac:dyDescent="0.3"/>
    <row r="5663" s="1" customFormat="1" x14ac:dyDescent="0.3"/>
    <row r="5664" s="1" customFormat="1" x14ac:dyDescent="0.3"/>
    <row r="5665" s="1" customFormat="1" x14ac:dyDescent="0.3"/>
    <row r="5666" s="1" customFormat="1" x14ac:dyDescent="0.3"/>
    <row r="5667" s="1" customFormat="1" x14ac:dyDescent="0.3"/>
    <row r="5668" s="1" customFormat="1" x14ac:dyDescent="0.3"/>
    <row r="5669" s="1" customFormat="1" x14ac:dyDescent="0.3"/>
    <row r="5670" s="1" customFormat="1" x14ac:dyDescent="0.3"/>
    <row r="5671" s="1" customFormat="1" x14ac:dyDescent="0.3"/>
    <row r="5672" s="1" customFormat="1" x14ac:dyDescent="0.3"/>
    <row r="5673" s="1" customFormat="1" x14ac:dyDescent="0.3"/>
    <row r="5674" s="1" customFormat="1" x14ac:dyDescent="0.3"/>
    <row r="5675" s="1" customFormat="1" x14ac:dyDescent="0.3"/>
    <row r="5676" s="1" customFormat="1" x14ac:dyDescent="0.3"/>
    <row r="5677" s="1" customFormat="1" x14ac:dyDescent="0.3"/>
    <row r="5678" s="1" customFormat="1" x14ac:dyDescent="0.3"/>
    <row r="5679" s="1" customFormat="1" x14ac:dyDescent="0.3"/>
    <row r="5680" s="1" customFormat="1" x14ac:dyDescent="0.3"/>
    <row r="5681" s="1" customFormat="1" x14ac:dyDescent="0.3"/>
    <row r="5682" s="1" customFormat="1" x14ac:dyDescent="0.3"/>
    <row r="5683" s="1" customFormat="1" x14ac:dyDescent="0.3"/>
    <row r="5684" s="1" customFormat="1" x14ac:dyDescent="0.3"/>
    <row r="5685" s="1" customFormat="1" x14ac:dyDescent="0.3"/>
    <row r="5686" s="1" customFormat="1" x14ac:dyDescent="0.3"/>
    <row r="5687" s="1" customFormat="1" x14ac:dyDescent="0.3"/>
    <row r="5688" s="1" customFormat="1" x14ac:dyDescent="0.3"/>
    <row r="5689" s="1" customFormat="1" x14ac:dyDescent="0.3"/>
    <row r="5690" s="1" customFormat="1" x14ac:dyDescent="0.3"/>
    <row r="5691" s="1" customFormat="1" x14ac:dyDescent="0.3"/>
    <row r="5692" s="1" customFormat="1" x14ac:dyDescent="0.3"/>
    <row r="5693" s="1" customFormat="1" x14ac:dyDescent="0.3"/>
    <row r="5694" s="1" customFormat="1" x14ac:dyDescent="0.3"/>
    <row r="5695" s="1" customFormat="1" x14ac:dyDescent="0.3"/>
    <row r="5696" s="1" customFormat="1" x14ac:dyDescent="0.3"/>
    <row r="5697" s="1" customFormat="1" x14ac:dyDescent="0.3"/>
    <row r="5698" s="1" customFormat="1" x14ac:dyDescent="0.3"/>
    <row r="5699" s="1" customFormat="1" x14ac:dyDescent="0.3"/>
    <row r="5700" s="1" customFormat="1" x14ac:dyDescent="0.3"/>
    <row r="5701" s="1" customFormat="1" x14ac:dyDescent="0.3"/>
    <row r="5702" s="1" customFormat="1" x14ac:dyDescent="0.3"/>
    <row r="5703" s="1" customFormat="1" x14ac:dyDescent="0.3"/>
    <row r="5704" s="1" customFormat="1" x14ac:dyDescent="0.3"/>
    <row r="5705" s="1" customFormat="1" x14ac:dyDescent="0.3"/>
    <row r="5706" s="1" customFormat="1" x14ac:dyDescent="0.3"/>
    <row r="5707" s="1" customFormat="1" x14ac:dyDescent="0.3"/>
    <row r="5708" s="1" customFormat="1" x14ac:dyDescent="0.3"/>
    <row r="5709" s="1" customFormat="1" x14ac:dyDescent="0.3"/>
    <row r="5710" s="1" customFormat="1" x14ac:dyDescent="0.3"/>
    <row r="5711" s="1" customFormat="1" x14ac:dyDescent="0.3"/>
    <row r="5712" s="1" customFormat="1" x14ac:dyDescent="0.3"/>
    <row r="5713" s="1" customFormat="1" x14ac:dyDescent="0.3"/>
    <row r="5714" s="1" customFormat="1" x14ac:dyDescent="0.3"/>
    <row r="5715" s="1" customFormat="1" x14ac:dyDescent="0.3"/>
    <row r="5716" s="1" customFormat="1" x14ac:dyDescent="0.3"/>
    <row r="5717" s="1" customFormat="1" x14ac:dyDescent="0.3"/>
    <row r="5718" s="1" customFormat="1" x14ac:dyDescent="0.3"/>
    <row r="5719" s="1" customFormat="1" x14ac:dyDescent="0.3"/>
    <row r="5720" s="1" customFormat="1" x14ac:dyDescent="0.3"/>
    <row r="5721" s="1" customFormat="1" x14ac:dyDescent="0.3"/>
    <row r="5722" s="1" customFormat="1" x14ac:dyDescent="0.3"/>
    <row r="5723" s="1" customFormat="1" x14ac:dyDescent="0.3"/>
    <row r="5724" s="1" customFormat="1" x14ac:dyDescent="0.3"/>
    <row r="5725" s="1" customFormat="1" x14ac:dyDescent="0.3"/>
    <row r="5726" s="1" customFormat="1" x14ac:dyDescent="0.3"/>
    <row r="5727" s="1" customFormat="1" x14ac:dyDescent="0.3"/>
    <row r="5728" s="1" customFormat="1" x14ac:dyDescent="0.3"/>
    <row r="5729" s="1" customFormat="1" x14ac:dyDescent="0.3"/>
    <row r="5730" s="1" customFormat="1" x14ac:dyDescent="0.3"/>
    <row r="5731" s="1" customFormat="1" x14ac:dyDescent="0.3"/>
    <row r="5732" s="1" customFormat="1" x14ac:dyDescent="0.3"/>
    <row r="5733" s="1" customFormat="1" x14ac:dyDescent="0.3"/>
    <row r="5734" s="1" customFormat="1" x14ac:dyDescent="0.3"/>
    <row r="5735" s="1" customFormat="1" x14ac:dyDescent="0.3"/>
    <row r="5736" s="1" customFormat="1" x14ac:dyDescent="0.3"/>
    <row r="5737" s="1" customFormat="1" x14ac:dyDescent="0.3"/>
    <row r="5738" s="1" customFormat="1" x14ac:dyDescent="0.3"/>
    <row r="5739" s="1" customFormat="1" x14ac:dyDescent="0.3"/>
    <row r="5740" s="1" customFormat="1" x14ac:dyDescent="0.3"/>
    <row r="5741" s="1" customFormat="1" x14ac:dyDescent="0.3"/>
    <row r="5742" s="1" customFormat="1" x14ac:dyDescent="0.3"/>
    <row r="5743" s="1" customFormat="1" x14ac:dyDescent="0.3"/>
    <row r="5744" s="1" customFormat="1" x14ac:dyDescent="0.3"/>
    <row r="5745" s="1" customFormat="1" x14ac:dyDescent="0.3"/>
    <row r="5746" s="1" customFormat="1" x14ac:dyDescent="0.3"/>
    <row r="5747" s="1" customFormat="1" x14ac:dyDescent="0.3"/>
    <row r="5748" s="1" customFormat="1" x14ac:dyDescent="0.3"/>
    <row r="5749" s="1" customFormat="1" x14ac:dyDescent="0.3"/>
    <row r="5750" s="1" customFormat="1" x14ac:dyDescent="0.3"/>
    <row r="5751" s="1" customFormat="1" x14ac:dyDescent="0.3"/>
    <row r="5752" s="1" customFormat="1" x14ac:dyDescent="0.3"/>
    <row r="5753" s="1" customFormat="1" x14ac:dyDescent="0.3"/>
    <row r="5754" s="1" customFormat="1" x14ac:dyDescent="0.3"/>
    <row r="5755" s="1" customFormat="1" x14ac:dyDescent="0.3"/>
    <row r="5756" s="1" customFormat="1" x14ac:dyDescent="0.3"/>
    <row r="5757" s="1" customFormat="1" x14ac:dyDescent="0.3"/>
    <row r="5758" s="1" customFormat="1" x14ac:dyDescent="0.3"/>
    <row r="5759" s="1" customFormat="1" x14ac:dyDescent="0.3"/>
    <row r="5760" s="1" customFormat="1" x14ac:dyDescent="0.3"/>
    <row r="5761" s="1" customFormat="1" x14ac:dyDescent="0.3"/>
    <row r="5762" s="1" customFormat="1" x14ac:dyDescent="0.3"/>
    <row r="5763" s="1" customFormat="1" x14ac:dyDescent="0.3"/>
    <row r="5764" s="1" customFormat="1" x14ac:dyDescent="0.3"/>
    <row r="5765" s="1" customFormat="1" x14ac:dyDescent="0.3"/>
    <row r="5766" s="1" customFormat="1" x14ac:dyDescent="0.3"/>
    <row r="5767" s="1" customFormat="1" x14ac:dyDescent="0.3"/>
    <row r="5768" s="1" customFormat="1" x14ac:dyDescent="0.3"/>
    <row r="5769" s="1" customFormat="1" x14ac:dyDescent="0.3"/>
    <row r="5770" s="1" customFormat="1" x14ac:dyDescent="0.3"/>
    <row r="5771" s="1" customFormat="1" x14ac:dyDescent="0.3"/>
    <row r="5772" s="1" customFormat="1" x14ac:dyDescent="0.3"/>
    <row r="5773" s="1" customFormat="1" x14ac:dyDescent="0.3"/>
    <row r="5774" s="1" customFormat="1" x14ac:dyDescent="0.3"/>
    <row r="5775" s="1" customFormat="1" x14ac:dyDescent="0.3"/>
    <row r="5776" s="1" customFormat="1" x14ac:dyDescent="0.3"/>
    <row r="5777" s="1" customFormat="1" x14ac:dyDescent="0.3"/>
    <row r="5778" s="1" customFormat="1" x14ac:dyDescent="0.3"/>
    <row r="5779" s="1" customFormat="1" x14ac:dyDescent="0.3"/>
    <row r="5780" s="1" customFormat="1" x14ac:dyDescent="0.3"/>
    <row r="5781" s="1" customFormat="1" x14ac:dyDescent="0.3"/>
    <row r="5782" s="1" customFormat="1" x14ac:dyDescent="0.3"/>
    <row r="5783" s="1" customFormat="1" x14ac:dyDescent="0.3"/>
    <row r="5784" s="1" customFormat="1" x14ac:dyDescent="0.3"/>
    <row r="5785" s="1" customFormat="1" x14ac:dyDescent="0.3"/>
    <row r="5786" s="1" customFormat="1" x14ac:dyDescent="0.3"/>
    <row r="5787" s="1" customFormat="1" x14ac:dyDescent="0.3"/>
    <row r="5788" s="1" customFormat="1" x14ac:dyDescent="0.3"/>
    <row r="5789" s="1" customFormat="1" x14ac:dyDescent="0.3"/>
    <row r="5790" s="1" customFormat="1" x14ac:dyDescent="0.3"/>
    <row r="5791" s="1" customFormat="1" x14ac:dyDescent="0.3"/>
    <row r="5792" s="1" customFormat="1" x14ac:dyDescent="0.3"/>
    <row r="5793" s="1" customFormat="1" x14ac:dyDescent="0.3"/>
    <row r="5794" s="1" customFormat="1" x14ac:dyDescent="0.3"/>
    <row r="5795" s="1" customFormat="1" x14ac:dyDescent="0.3"/>
    <row r="5796" s="1" customFormat="1" x14ac:dyDescent="0.3"/>
    <row r="5797" s="1" customFormat="1" x14ac:dyDescent="0.3"/>
    <row r="5798" s="1" customFormat="1" x14ac:dyDescent="0.3"/>
    <row r="5799" s="1" customFormat="1" x14ac:dyDescent="0.3"/>
    <row r="5800" s="1" customFormat="1" x14ac:dyDescent="0.3"/>
    <row r="5801" s="1" customFormat="1" x14ac:dyDescent="0.3"/>
    <row r="5802" s="1" customFormat="1" x14ac:dyDescent="0.3"/>
    <row r="5803" s="1" customFormat="1" x14ac:dyDescent="0.3"/>
    <row r="5804" s="1" customFormat="1" x14ac:dyDescent="0.3"/>
    <row r="5805" s="1" customFormat="1" x14ac:dyDescent="0.3"/>
    <row r="5806" s="1" customFormat="1" x14ac:dyDescent="0.3"/>
    <row r="5807" s="1" customFormat="1" x14ac:dyDescent="0.3"/>
    <row r="5808" s="1" customFormat="1" x14ac:dyDescent="0.3"/>
    <row r="5809" s="1" customFormat="1" x14ac:dyDescent="0.3"/>
    <row r="5810" s="1" customFormat="1" x14ac:dyDescent="0.3"/>
    <row r="5811" s="1" customFormat="1" x14ac:dyDescent="0.3"/>
    <row r="5812" s="1" customFormat="1" x14ac:dyDescent="0.3"/>
    <row r="5813" s="1" customFormat="1" x14ac:dyDescent="0.3"/>
    <row r="5814" s="1" customFormat="1" x14ac:dyDescent="0.3"/>
    <row r="5815" s="1" customFormat="1" x14ac:dyDescent="0.3"/>
    <row r="5816" s="1" customFormat="1" x14ac:dyDescent="0.3"/>
    <row r="5817" s="1" customFormat="1" x14ac:dyDescent="0.3"/>
    <row r="5818" s="1" customFormat="1" x14ac:dyDescent="0.3"/>
    <row r="5819" s="1" customFormat="1" x14ac:dyDescent="0.3"/>
    <row r="5820" s="1" customFormat="1" x14ac:dyDescent="0.3"/>
    <row r="5821" s="1" customFormat="1" x14ac:dyDescent="0.3"/>
    <row r="5822" s="1" customFormat="1" x14ac:dyDescent="0.3"/>
    <row r="5823" s="1" customFormat="1" x14ac:dyDescent="0.3"/>
    <row r="5824" s="1" customFormat="1" x14ac:dyDescent="0.3"/>
    <row r="5825" s="1" customFormat="1" x14ac:dyDescent="0.3"/>
    <row r="5826" s="1" customFormat="1" x14ac:dyDescent="0.3"/>
    <row r="5827" s="1" customFormat="1" x14ac:dyDescent="0.3"/>
    <row r="5828" s="1" customFormat="1" x14ac:dyDescent="0.3"/>
    <row r="5829" s="1" customFormat="1" x14ac:dyDescent="0.3"/>
    <row r="5830" s="1" customFormat="1" x14ac:dyDescent="0.3"/>
    <row r="5831" s="1" customFormat="1" x14ac:dyDescent="0.3"/>
    <row r="5832" s="1" customFormat="1" x14ac:dyDescent="0.3"/>
    <row r="5833" s="1" customFormat="1" x14ac:dyDescent="0.3"/>
    <row r="5834" s="1" customFormat="1" x14ac:dyDescent="0.3"/>
    <row r="5835" s="1" customFormat="1" x14ac:dyDescent="0.3"/>
    <row r="5836" s="1" customFormat="1" x14ac:dyDescent="0.3"/>
    <row r="5837" s="1" customFormat="1" x14ac:dyDescent="0.3"/>
    <row r="5838" s="1" customFormat="1" x14ac:dyDescent="0.3"/>
    <row r="5839" s="1" customFormat="1" x14ac:dyDescent="0.3"/>
    <row r="5840" s="1" customFormat="1" x14ac:dyDescent="0.3"/>
    <row r="5841" s="1" customFormat="1" x14ac:dyDescent="0.3"/>
    <row r="5842" s="1" customFormat="1" x14ac:dyDescent="0.3"/>
    <row r="5843" s="1" customFormat="1" x14ac:dyDescent="0.3"/>
    <row r="5844" s="1" customFormat="1" x14ac:dyDescent="0.3"/>
    <row r="5845" s="1" customFormat="1" x14ac:dyDescent="0.3"/>
    <row r="5846" s="1" customFormat="1" x14ac:dyDescent="0.3"/>
    <row r="5847" s="1" customFormat="1" x14ac:dyDescent="0.3"/>
    <row r="5848" s="1" customFormat="1" x14ac:dyDescent="0.3"/>
    <row r="5849" s="1" customFormat="1" x14ac:dyDescent="0.3"/>
    <row r="5850" s="1" customFormat="1" x14ac:dyDescent="0.3"/>
    <row r="5851" s="1" customFormat="1" x14ac:dyDescent="0.3"/>
    <row r="5852" s="1" customFormat="1" x14ac:dyDescent="0.3"/>
    <row r="5853" s="1" customFormat="1" x14ac:dyDescent="0.3"/>
    <row r="5854" s="1" customFormat="1" x14ac:dyDescent="0.3"/>
    <row r="5855" s="1" customFormat="1" x14ac:dyDescent="0.3"/>
    <row r="5856" s="1" customFormat="1" x14ac:dyDescent="0.3"/>
    <row r="5857" s="1" customFormat="1" x14ac:dyDescent="0.3"/>
    <row r="5858" s="1" customFormat="1" x14ac:dyDescent="0.3"/>
    <row r="5859" s="1" customFormat="1" x14ac:dyDescent="0.3"/>
    <row r="5860" s="1" customFormat="1" x14ac:dyDescent="0.3"/>
    <row r="5861" s="1" customFormat="1" x14ac:dyDescent="0.3"/>
    <row r="5862" s="1" customFormat="1" x14ac:dyDescent="0.3"/>
    <row r="5863" s="1" customFormat="1" x14ac:dyDescent="0.3"/>
    <row r="5864" s="1" customFormat="1" x14ac:dyDescent="0.3"/>
    <row r="5865" s="1" customFormat="1" x14ac:dyDescent="0.3"/>
    <row r="5866" s="1" customFormat="1" x14ac:dyDescent="0.3"/>
    <row r="5867" s="1" customFormat="1" x14ac:dyDescent="0.3"/>
    <row r="5868" s="1" customFormat="1" x14ac:dyDescent="0.3"/>
    <row r="5869" s="1" customFormat="1" x14ac:dyDescent="0.3"/>
    <row r="5870" s="1" customFormat="1" x14ac:dyDescent="0.3"/>
    <row r="5871" s="1" customFormat="1" x14ac:dyDescent="0.3"/>
    <row r="5872" s="1" customFormat="1" x14ac:dyDescent="0.3"/>
    <row r="5873" s="1" customFormat="1" x14ac:dyDescent="0.3"/>
    <row r="5874" s="1" customFormat="1" x14ac:dyDescent="0.3"/>
    <row r="5875" s="1" customFormat="1" x14ac:dyDescent="0.3"/>
    <row r="5876" s="1" customFormat="1" x14ac:dyDescent="0.3"/>
    <row r="5877" s="1" customFormat="1" x14ac:dyDescent="0.3"/>
    <row r="5878" s="1" customFormat="1" x14ac:dyDescent="0.3"/>
    <row r="5879" s="1" customFormat="1" x14ac:dyDescent="0.3"/>
    <row r="5880" s="1" customFormat="1" x14ac:dyDescent="0.3"/>
    <row r="5881" s="1" customFormat="1" x14ac:dyDescent="0.3"/>
    <row r="5882" s="1" customFormat="1" x14ac:dyDescent="0.3"/>
    <row r="5883" s="1" customFormat="1" x14ac:dyDescent="0.3"/>
    <row r="5884" s="1" customFormat="1" x14ac:dyDescent="0.3"/>
    <row r="5885" s="1" customFormat="1" x14ac:dyDescent="0.3"/>
    <row r="5886" s="1" customFormat="1" x14ac:dyDescent="0.3"/>
    <row r="5887" s="1" customFormat="1" x14ac:dyDescent="0.3"/>
    <row r="5888" s="1" customFormat="1" x14ac:dyDescent="0.3"/>
    <row r="5889" s="1" customFormat="1" x14ac:dyDescent="0.3"/>
    <row r="5890" s="1" customFormat="1" x14ac:dyDescent="0.3"/>
    <row r="5891" s="1" customFormat="1" x14ac:dyDescent="0.3"/>
    <row r="5892" s="1" customFormat="1" x14ac:dyDescent="0.3"/>
    <row r="5893" s="1" customFormat="1" x14ac:dyDescent="0.3"/>
    <row r="5894" s="1" customFormat="1" x14ac:dyDescent="0.3"/>
    <row r="5895" s="1" customFormat="1" x14ac:dyDescent="0.3"/>
    <row r="5896" s="1" customFormat="1" x14ac:dyDescent="0.3"/>
    <row r="5897" s="1" customFormat="1" x14ac:dyDescent="0.3"/>
    <row r="5898" s="1" customFormat="1" x14ac:dyDescent="0.3"/>
    <row r="5899" s="1" customFormat="1" x14ac:dyDescent="0.3"/>
    <row r="5900" s="1" customFormat="1" x14ac:dyDescent="0.3"/>
    <row r="5901" s="1" customFormat="1" x14ac:dyDescent="0.3"/>
    <row r="5902" s="1" customFormat="1" x14ac:dyDescent="0.3"/>
    <row r="5903" s="1" customFormat="1" x14ac:dyDescent="0.3"/>
    <row r="5904" s="1" customFormat="1" x14ac:dyDescent="0.3"/>
    <row r="5905" s="1" customFormat="1" x14ac:dyDescent="0.3"/>
    <row r="5906" s="1" customFormat="1" x14ac:dyDescent="0.3"/>
    <row r="5907" s="1" customFormat="1" x14ac:dyDescent="0.3"/>
    <row r="5908" s="1" customFormat="1" x14ac:dyDescent="0.3"/>
    <row r="5909" s="1" customFormat="1" x14ac:dyDescent="0.3"/>
    <row r="5910" s="1" customFormat="1" x14ac:dyDescent="0.3"/>
    <row r="5911" s="1" customFormat="1" x14ac:dyDescent="0.3"/>
    <row r="5912" s="1" customFormat="1" x14ac:dyDescent="0.3"/>
    <row r="5913" s="1" customFormat="1" x14ac:dyDescent="0.3"/>
    <row r="5914" s="1" customFormat="1" x14ac:dyDescent="0.3"/>
    <row r="5915" s="1" customFormat="1" x14ac:dyDescent="0.3"/>
    <row r="5916" s="1" customFormat="1" x14ac:dyDescent="0.3"/>
    <row r="5917" s="1" customFormat="1" x14ac:dyDescent="0.3"/>
    <row r="5918" s="1" customFormat="1" x14ac:dyDescent="0.3"/>
    <row r="5919" s="1" customFormat="1" x14ac:dyDescent="0.3"/>
    <row r="5920" s="1" customFormat="1" x14ac:dyDescent="0.3"/>
    <row r="5921" s="1" customFormat="1" x14ac:dyDescent="0.3"/>
    <row r="5922" s="1" customFormat="1" x14ac:dyDescent="0.3"/>
    <row r="5923" s="1" customFormat="1" x14ac:dyDescent="0.3"/>
    <row r="5924" s="1" customFormat="1" x14ac:dyDescent="0.3"/>
    <row r="5925" s="1" customFormat="1" x14ac:dyDescent="0.3"/>
    <row r="5926" s="1" customFormat="1" x14ac:dyDescent="0.3"/>
    <row r="5927" s="1" customFormat="1" x14ac:dyDescent="0.3"/>
    <row r="5928" s="1" customFormat="1" x14ac:dyDescent="0.3"/>
    <row r="5929" s="1" customFormat="1" x14ac:dyDescent="0.3"/>
    <row r="5930" s="1" customFormat="1" x14ac:dyDescent="0.3"/>
    <row r="5931" s="1" customFormat="1" x14ac:dyDescent="0.3"/>
    <row r="5932" s="1" customFormat="1" x14ac:dyDescent="0.3"/>
    <row r="5933" s="1" customFormat="1" x14ac:dyDescent="0.3"/>
    <row r="5934" s="1" customFormat="1" x14ac:dyDescent="0.3"/>
    <row r="5935" s="1" customFormat="1" x14ac:dyDescent="0.3"/>
    <row r="5936" s="1" customFormat="1" x14ac:dyDescent="0.3"/>
    <row r="5937" s="1" customFormat="1" x14ac:dyDescent="0.3"/>
    <row r="5938" s="1" customFormat="1" x14ac:dyDescent="0.3"/>
    <row r="5939" s="1" customFormat="1" x14ac:dyDescent="0.3"/>
    <row r="5940" s="1" customFormat="1" x14ac:dyDescent="0.3"/>
    <row r="5941" s="1" customFormat="1" x14ac:dyDescent="0.3"/>
    <row r="5942" s="1" customFormat="1" x14ac:dyDescent="0.3"/>
    <row r="5943" s="1" customFormat="1" x14ac:dyDescent="0.3"/>
    <row r="5944" s="1" customFormat="1" x14ac:dyDescent="0.3"/>
    <row r="5945" s="1" customFormat="1" x14ac:dyDescent="0.3"/>
    <row r="5946" s="1" customFormat="1" x14ac:dyDescent="0.3"/>
    <row r="5947" s="1" customFormat="1" x14ac:dyDescent="0.3"/>
    <row r="5948" s="1" customFormat="1" x14ac:dyDescent="0.3"/>
    <row r="5949" s="1" customFormat="1" x14ac:dyDescent="0.3"/>
    <row r="5950" s="1" customFormat="1" x14ac:dyDescent="0.3"/>
    <row r="5951" s="1" customFormat="1" x14ac:dyDescent="0.3"/>
    <row r="5952" s="1" customFormat="1" x14ac:dyDescent="0.3"/>
    <row r="5953" s="1" customFormat="1" x14ac:dyDescent="0.3"/>
    <row r="5954" s="1" customFormat="1" x14ac:dyDescent="0.3"/>
    <row r="5955" s="1" customFormat="1" x14ac:dyDescent="0.3"/>
    <row r="5956" s="1" customFormat="1" x14ac:dyDescent="0.3"/>
    <row r="5957" s="1" customFormat="1" x14ac:dyDescent="0.3"/>
    <row r="5958" s="1" customFormat="1" x14ac:dyDescent="0.3"/>
    <row r="5959" s="1" customFormat="1" x14ac:dyDescent="0.3"/>
    <row r="5960" s="1" customFormat="1" x14ac:dyDescent="0.3"/>
    <row r="5961" s="1" customFormat="1" x14ac:dyDescent="0.3"/>
    <row r="5962" s="1" customFormat="1" x14ac:dyDescent="0.3"/>
    <row r="5963" s="1" customFormat="1" x14ac:dyDescent="0.3"/>
    <row r="5964" s="1" customFormat="1" x14ac:dyDescent="0.3"/>
    <row r="5965" s="1" customFormat="1" x14ac:dyDescent="0.3"/>
    <row r="5966" s="1" customFormat="1" x14ac:dyDescent="0.3"/>
    <row r="5967" s="1" customFormat="1" x14ac:dyDescent="0.3"/>
    <row r="5968" s="1" customFormat="1" x14ac:dyDescent="0.3"/>
    <row r="5969" s="1" customFormat="1" x14ac:dyDescent="0.3"/>
    <row r="5970" s="1" customFormat="1" x14ac:dyDescent="0.3"/>
    <row r="5971" s="1" customFormat="1" x14ac:dyDescent="0.3"/>
    <row r="5972" s="1" customFormat="1" x14ac:dyDescent="0.3"/>
    <row r="5973" s="1" customFormat="1" x14ac:dyDescent="0.3"/>
    <row r="5974" s="1" customFormat="1" x14ac:dyDescent="0.3"/>
    <row r="5975" s="1" customFormat="1" x14ac:dyDescent="0.3"/>
    <row r="5976" s="1" customFormat="1" x14ac:dyDescent="0.3"/>
    <row r="5977" s="1" customFormat="1" x14ac:dyDescent="0.3"/>
    <row r="5978" s="1" customFormat="1" x14ac:dyDescent="0.3"/>
    <row r="5979" s="1" customFormat="1" x14ac:dyDescent="0.3"/>
    <row r="5980" s="1" customFormat="1" x14ac:dyDescent="0.3"/>
    <row r="5981" s="1" customFormat="1" x14ac:dyDescent="0.3"/>
    <row r="5982" s="1" customFormat="1" x14ac:dyDescent="0.3"/>
    <row r="5983" s="1" customFormat="1" x14ac:dyDescent="0.3"/>
    <row r="5984" s="1" customFormat="1" x14ac:dyDescent="0.3"/>
    <row r="5985" s="1" customFormat="1" x14ac:dyDescent="0.3"/>
    <row r="5986" s="1" customFormat="1" x14ac:dyDescent="0.3"/>
    <row r="5987" s="1" customFormat="1" x14ac:dyDescent="0.3"/>
    <row r="5988" s="1" customFormat="1" x14ac:dyDescent="0.3"/>
    <row r="5989" s="1" customFormat="1" x14ac:dyDescent="0.3"/>
    <row r="5990" s="1" customFormat="1" x14ac:dyDescent="0.3"/>
    <row r="5991" s="1" customFormat="1" x14ac:dyDescent="0.3"/>
    <row r="5992" s="1" customFormat="1" x14ac:dyDescent="0.3"/>
    <row r="5993" s="1" customFormat="1" x14ac:dyDescent="0.3"/>
    <row r="5994" s="1" customFormat="1" x14ac:dyDescent="0.3"/>
    <row r="5995" s="1" customFormat="1" x14ac:dyDescent="0.3"/>
    <row r="5996" s="1" customFormat="1" x14ac:dyDescent="0.3"/>
    <row r="5997" s="1" customFormat="1" x14ac:dyDescent="0.3"/>
    <row r="5998" s="1" customFormat="1" x14ac:dyDescent="0.3"/>
    <row r="5999" s="1" customFormat="1" x14ac:dyDescent="0.3"/>
    <row r="6000" s="1" customFormat="1" x14ac:dyDescent="0.3"/>
    <row r="6001" s="1" customFormat="1" x14ac:dyDescent="0.3"/>
    <row r="6002" s="1" customFormat="1" x14ac:dyDescent="0.3"/>
    <row r="6003" s="1" customFormat="1" x14ac:dyDescent="0.3"/>
    <row r="6004" s="1" customFormat="1" x14ac:dyDescent="0.3"/>
    <row r="6005" s="1" customFormat="1" x14ac:dyDescent="0.3"/>
    <row r="6006" s="1" customFormat="1" x14ac:dyDescent="0.3"/>
    <row r="6007" s="1" customFormat="1" x14ac:dyDescent="0.3"/>
    <row r="6008" s="1" customFormat="1" x14ac:dyDescent="0.3"/>
    <row r="6009" s="1" customFormat="1" x14ac:dyDescent="0.3"/>
    <row r="6010" s="1" customFormat="1" x14ac:dyDescent="0.3"/>
    <row r="6011" s="1" customFormat="1" x14ac:dyDescent="0.3"/>
    <row r="6012" s="1" customFormat="1" x14ac:dyDescent="0.3"/>
    <row r="6013" s="1" customFormat="1" x14ac:dyDescent="0.3"/>
    <row r="6014" s="1" customFormat="1" x14ac:dyDescent="0.3"/>
    <row r="6015" s="1" customFormat="1" x14ac:dyDescent="0.3"/>
    <row r="6016" s="1" customFormat="1" x14ac:dyDescent="0.3"/>
    <row r="6017" s="1" customFormat="1" x14ac:dyDescent="0.3"/>
    <row r="6018" s="1" customFormat="1" x14ac:dyDescent="0.3"/>
    <row r="6019" s="1" customFormat="1" x14ac:dyDescent="0.3"/>
    <row r="6020" s="1" customFormat="1" x14ac:dyDescent="0.3"/>
    <row r="6021" s="1" customFormat="1" x14ac:dyDescent="0.3"/>
    <row r="6022" s="1" customFormat="1" x14ac:dyDescent="0.3"/>
    <row r="6023" s="1" customFormat="1" x14ac:dyDescent="0.3"/>
    <row r="6024" s="1" customFormat="1" x14ac:dyDescent="0.3"/>
    <row r="6025" s="1" customFormat="1" x14ac:dyDescent="0.3"/>
    <row r="6026" s="1" customFormat="1" x14ac:dyDescent="0.3"/>
    <row r="6027" s="1" customFormat="1" x14ac:dyDescent="0.3"/>
    <row r="6028" s="1" customFormat="1" x14ac:dyDescent="0.3"/>
    <row r="6029" s="1" customFormat="1" x14ac:dyDescent="0.3"/>
    <row r="6030" s="1" customFormat="1" x14ac:dyDescent="0.3"/>
    <row r="6031" s="1" customFormat="1" x14ac:dyDescent="0.3"/>
    <row r="6032" s="1" customFormat="1" x14ac:dyDescent="0.3"/>
    <row r="6033" s="1" customFormat="1" x14ac:dyDescent="0.3"/>
    <row r="6034" s="1" customFormat="1" x14ac:dyDescent="0.3"/>
    <row r="6035" s="1" customFormat="1" x14ac:dyDescent="0.3"/>
    <row r="6036" s="1" customFormat="1" x14ac:dyDescent="0.3"/>
    <row r="6037" s="1" customFormat="1" x14ac:dyDescent="0.3"/>
    <row r="6038" s="1" customFormat="1" x14ac:dyDescent="0.3"/>
    <row r="6039" s="1" customFormat="1" x14ac:dyDescent="0.3"/>
    <row r="6040" s="1" customFormat="1" x14ac:dyDescent="0.3"/>
    <row r="6041" s="1" customFormat="1" x14ac:dyDescent="0.3"/>
    <row r="6042" s="1" customFormat="1" x14ac:dyDescent="0.3"/>
    <row r="6043" s="1" customFormat="1" x14ac:dyDescent="0.3"/>
    <row r="6044" s="1" customFormat="1" x14ac:dyDescent="0.3"/>
    <row r="6045" s="1" customFormat="1" x14ac:dyDescent="0.3"/>
    <row r="6046" s="1" customFormat="1" x14ac:dyDescent="0.3"/>
    <row r="6047" s="1" customFormat="1" x14ac:dyDescent="0.3"/>
    <row r="6048" s="1" customFormat="1" x14ac:dyDescent="0.3"/>
    <row r="6049" s="1" customFormat="1" x14ac:dyDescent="0.3"/>
    <row r="6050" s="1" customFormat="1" x14ac:dyDescent="0.3"/>
    <row r="6051" s="1" customFormat="1" x14ac:dyDescent="0.3"/>
    <row r="6052" s="1" customFormat="1" x14ac:dyDescent="0.3"/>
    <row r="6053" s="1" customFormat="1" x14ac:dyDescent="0.3"/>
    <row r="6054" s="1" customFormat="1" x14ac:dyDescent="0.3"/>
    <row r="6055" s="1" customFormat="1" x14ac:dyDescent="0.3"/>
    <row r="6056" s="1" customFormat="1" x14ac:dyDescent="0.3"/>
    <row r="6057" s="1" customFormat="1" x14ac:dyDescent="0.3"/>
    <row r="6058" s="1" customFormat="1" x14ac:dyDescent="0.3"/>
    <row r="6059" s="1" customFormat="1" x14ac:dyDescent="0.3"/>
    <row r="6060" s="1" customFormat="1" x14ac:dyDescent="0.3"/>
    <row r="6061" s="1" customFormat="1" x14ac:dyDescent="0.3"/>
    <row r="6062" s="1" customFormat="1" x14ac:dyDescent="0.3"/>
    <row r="6063" s="1" customFormat="1" x14ac:dyDescent="0.3"/>
    <row r="6064" s="1" customFormat="1" x14ac:dyDescent="0.3"/>
    <row r="6065" s="1" customFormat="1" x14ac:dyDescent="0.3"/>
    <row r="6066" s="1" customFormat="1" x14ac:dyDescent="0.3"/>
    <row r="6067" s="1" customFormat="1" x14ac:dyDescent="0.3"/>
    <row r="6068" s="1" customFormat="1" x14ac:dyDescent="0.3"/>
    <row r="6069" s="1" customFormat="1" x14ac:dyDescent="0.3"/>
    <row r="6070" s="1" customFormat="1" x14ac:dyDescent="0.3"/>
    <row r="6071" s="1" customFormat="1" x14ac:dyDescent="0.3"/>
    <row r="6072" s="1" customFormat="1" x14ac:dyDescent="0.3"/>
    <row r="6073" s="1" customFormat="1" x14ac:dyDescent="0.3"/>
    <row r="6074" s="1" customFormat="1" x14ac:dyDescent="0.3"/>
    <row r="6075" s="1" customFormat="1" x14ac:dyDescent="0.3"/>
    <row r="6076" s="1" customFormat="1" x14ac:dyDescent="0.3"/>
    <row r="6077" s="1" customFormat="1" x14ac:dyDescent="0.3"/>
    <row r="6078" s="1" customFormat="1" x14ac:dyDescent="0.3"/>
    <row r="6079" s="1" customFormat="1" x14ac:dyDescent="0.3"/>
    <row r="6080" s="1" customFormat="1" x14ac:dyDescent="0.3"/>
    <row r="6081" s="1" customFormat="1" x14ac:dyDescent="0.3"/>
    <row r="6082" s="1" customFormat="1" x14ac:dyDescent="0.3"/>
    <row r="6083" s="1" customFormat="1" x14ac:dyDescent="0.3"/>
    <row r="6084" s="1" customFormat="1" x14ac:dyDescent="0.3"/>
    <row r="6085" s="1" customFormat="1" x14ac:dyDescent="0.3"/>
    <row r="6086" s="1" customFormat="1" x14ac:dyDescent="0.3"/>
    <row r="6087" s="1" customFormat="1" x14ac:dyDescent="0.3"/>
    <row r="6088" s="1" customFormat="1" x14ac:dyDescent="0.3"/>
    <row r="6089" s="1" customFormat="1" x14ac:dyDescent="0.3"/>
    <row r="6090" s="1" customFormat="1" x14ac:dyDescent="0.3"/>
    <row r="6091" s="1" customFormat="1" x14ac:dyDescent="0.3"/>
    <row r="6092" s="1" customFormat="1" x14ac:dyDescent="0.3"/>
    <row r="6093" s="1" customFormat="1" x14ac:dyDescent="0.3"/>
    <row r="6094" s="1" customFormat="1" x14ac:dyDescent="0.3"/>
    <row r="6095" s="1" customFormat="1" x14ac:dyDescent="0.3"/>
    <row r="6096" s="1" customFormat="1" x14ac:dyDescent="0.3"/>
    <row r="6097" s="1" customFormat="1" x14ac:dyDescent="0.3"/>
    <row r="6098" s="1" customFormat="1" x14ac:dyDescent="0.3"/>
    <row r="6099" s="1" customFormat="1" x14ac:dyDescent="0.3"/>
    <row r="6100" s="1" customFormat="1" x14ac:dyDescent="0.3"/>
    <row r="6101" s="1" customFormat="1" x14ac:dyDescent="0.3"/>
    <row r="6102" s="1" customFormat="1" x14ac:dyDescent="0.3"/>
    <row r="6103" s="1" customFormat="1" x14ac:dyDescent="0.3"/>
    <row r="6104" s="1" customFormat="1" x14ac:dyDescent="0.3"/>
    <row r="6105" s="1" customFormat="1" x14ac:dyDescent="0.3"/>
    <row r="6106" s="1" customFormat="1" x14ac:dyDescent="0.3"/>
    <row r="6107" s="1" customFormat="1" x14ac:dyDescent="0.3"/>
    <row r="6108" s="1" customFormat="1" x14ac:dyDescent="0.3"/>
    <row r="6109" s="1" customFormat="1" x14ac:dyDescent="0.3"/>
    <row r="6110" s="1" customFormat="1" x14ac:dyDescent="0.3"/>
    <row r="6111" s="1" customFormat="1" x14ac:dyDescent="0.3"/>
    <row r="6112" s="1" customFormat="1" x14ac:dyDescent="0.3"/>
    <row r="6113" s="1" customFormat="1" x14ac:dyDescent="0.3"/>
    <row r="6114" s="1" customFormat="1" x14ac:dyDescent="0.3"/>
    <row r="6115" s="1" customFormat="1" x14ac:dyDescent="0.3"/>
    <row r="6116" s="1" customFormat="1" x14ac:dyDescent="0.3"/>
    <row r="6117" s="1" customFormat="1" x14ac:dyDescent="0.3"/>
    <row r="6118" s="1" customFormat="1" x14ac:dyDescent="0.3"/>
    <row r="6119" s="1" customFormat="1" x14ac:dyDescent="0.3"/>
    <row r="6120" s="1" customFormat="1" x14ac:dyDescent="0.3"/>
    <row r="6121" s="1" customFormat="1" x14ac:dyDescent="0.3"/>
    <row r="6122" s="1" customFormat="1" x14ac:dyDescent="0.3"/>
    <row r="6123" s="1" customFormat="1" x14ac:dyDescent="0.3"/>
    <row r="6124" s="1" customFormat="1" x14ac:dyDescent="0.3"/>
    <row r="6125" s="1" customFormat="1" x14ac:dyDescent="0.3"/>
    <row r="6126" s="1" customFormat="1" x14ac:dyDescent="0.3"/>
    <row r="6127" s="1" customFormat="1" x14ac:dyDescent="0.3"/>
    <row r="6128" s="1" customFormat="1" x14ac:dyDescent="0.3"/>
    <row r="6129" s="1" customFormat="1" x14ac:dyDescent="0.3"/>
    <row r="6130" s="1" customFormat="1" x14ac:dyDescent="0.3"/>
    <row r="6131" s="1" customFormat="1" x14ac:dyDescent="0.3"/>
    <row r="6132" s="1" customFormat="1" x14ac:dyDescent="0.3"/>
    <row r="6133" s="1" customFormat="1" x14ac:dyDescent="0.3"/>
    <row r="6134" s="1" customFormat="1" x14ac:dyDescent="0.3"/>
    <row r="6135" s="1" customFormat="1" x14ac:dyDescent="0.3"/>
    <row r="6136" s="1" customFormat="1" x14ac:dyDescent="0.3"/>
    <row r="6137" s="1" customFormat="1" x14ac:dyDescent="0.3"/>
    <row r="6138" s="1" customFormat="1" x14ac:dyDescent="0.3"/>
    <row r="6139" s="1" customFormat="1" x14ac:dyDescent="0.3"/>
    <row r="6140" s="1" customFormat="1" x14ac:dyDescent="0.3"/>
    <row r="6141" s="1" customFormat="1" x14ac:dyDescent="0.3"/>
    <row r="6142" s="1" customFormat="1" x14ac:dyDescent="0.3"/>
    <row r="6143" s="1" customFormat="1" x14ac:dyDescent="0.3"/>
    <row r="6144" s="1" customFormat="1" x14ac:dyDescent="0.3"/>
    <row r="6145" s="1" customFormat="1" x14ac:dyDescent="0.3"/>
    <row r="6146" s="1" customFormat="1" x14ac:dyDescent="0.3"/>
    <row r="6147" s="1" customFormat="1" x14ac:dyDescent="0.3"/>
    <row r="6148" s="1" customFormat="1" x14ac:dyDescent="0.3"/>
    <row r="6149" s="1" customFormat="1" x14ac:dyDescent="0.3"/>
    <row r="6150" s="1" customFormat="1" x14ac:dyDescent="0.3"/>
    <row r="6151" s="1" customFormat="1" x14ac:dyDescent="0.3"/>
    <row r="6152" s="1" customFormat="1" x14ac:dyDescent="0.3"/>
    <row r="6153" s="1" customFormat="1" x14ac:dyDescent="0.3"/>
    <row r="6154" s="1" customFormat="1" x14ac:dyDescent="0.3"/>
    <row r="6155" s="1" customFormat="1" x14ac:dyDescent="0.3"/>
    <row r="6156" s="1" customFormat="1" x14ac:dyDescent="0.3"/>
    <row r="6157" s="1" customFormat="1" x14ac:dyDescent="0.3"/>
    <row r="6158" s="1" customFormat="1" x14ac:dyDescent="0.3"/>
    <row r="6159" s="1" customFormat="1" x14ac:dyDescent="0.3"/>
    <row r="6160" s="1" customFormat="1" x14ac:dyDescent="0.3"/>
    <row r="6161" s="1" customFormat="1" x14ac:dyDescent="0.3"/>
    <row r="6162" s="1" customFormat="1" x14ac:dyDescent="0.3"/>
    <row r="6163" s="1" customFormat="1" x14ac:dyDescent="0.3"/>
    <row r="6164" s="1" customFormat="1" x14ac:dyDescent="0.3"/>
    <row r="6165" s="1" customFormat="1" x14ac:dyDescent="0.3"/>
    <row r="6166" s="1" customFormat="1" x14ac:dyDescent="0.3"/>
    <row r="6167" s="1" customFormat="1" x14ac:dyDescent="0.3"/>
    <row r="6168" s="1" customFormat="1" x14ac:dyDescent="0.3"/>
    <row r="6169" s="1" customFormat="1" x14ac:dyDescent="0.3"/>
    <row r="6170" s="1" customFormat="1" x14ac:dyDescent="0.3"/>
    <row r="6171" s="1" customFormat="1" x14ac:dyDescent="0.3"/>
    <row r="6172" s="1" customFormat="1" x14ac:dyDescent="0.3"/>
    <row r="6173" s="1" customFormat="1" x14ac:dyDescent="0.3"/>
    <row r="6174" s="1" customFormat="1" x14ac:dyDescent="0.3"/>
    <row r="6175" s="1" customFormat="1" x14ac:dyDescent="0.3"/>
    <row r="6176" s="1" customFormat="1" x14ac:dyDescent="0.3"/>
    <row r="6177" s="1" customFormat="1" x14ac:dyDescent="0.3"/>
    <row r="6178" s="1" customFormat="1" x14ac:dyDescent="0.3"/>
    <row r="6179" s="1" customFormat="1" x14ac:dyDescent="0.3"/>
    <row r="6180" s="1" customFormat="1" x14ac:dyDescent="0.3"/>
    <row r="6181" s="1" customFormat="1" x14ac:dyDescent="0.3"/>
    <row r="6182" s="1" customFormat="1" x14ac:dyDescent="0.3"/>
    <row r="6183" s="1" customFormat="1" x14ac:dyDescent="0.3"/>
    <row r="6184" s="1" customFormat="1" x14ac:dyDescent="0.3"/>
    <row r="6185" s="1" customFormat="1" x14ac:dyDescent="0.3"/>
    <row r="6186" s="1" customFormat="1" x14ac:dyDescent="0.3"/>
    <row r="6187" s="1" customFormat="1" x14ac:dyDescent="0.3"/>
    <row r="6188" s="1" customFormat="1" x14ac:dyDescent="0.3"/>
    <row r="6189" s="1" customFormat="1" x14ac:dyDescent="0.3"/>
    <row r="6190" s="1" customFormat="1" x14ac:dyDescent="0.3"/>
    <row r="6191" s="1" customFormat="1" x14ac:dyDescent="0.3"/>
    <row r="6192" s="1" customFormat="1" x14ac:dyDescent="0.3"/>
    <row r="6193" s="1" customFormat="1" x14ac:dyDescent="0.3"/>
    <row r="6194" s="1" customFormat="1" x14ac:dyDescent="0.3"/>
    <row r="6195" s="1" customFormat="1" x14ac:dyDescent="0.3"/>
    <row r="6196" s="1" customFormat="1" x14ac:dyDescent="0.3"/>
    <row r="6197" s="1" customFormat="1" x14ac:dyDescent="0.3"/>
    <row r="6198" s="1" customFormat="1" x14ac:dyDescent="0.3"/>
    <row r="6199" s="1" customFormat="1" x14ac:dyDescent="0.3"/>
    <row r="6200" s="1" customFormat="1" x14ac:dyDescent="0.3"/>
    <row r="6201" s="1" customFormat="1" x14ac:dyDescent="0.3"/>
    <row r="6202" s="1" customFormat="1" x14ac:dyDescent="0.3"/>
    <row r="6203" s="1" customFormat="1" x14ac:dyDescent="0.3"/>
    <row r="6204" s="1" customFormat="1" x14ac:dyDescent="0.3"/>
    <row r="6205" s="1" customFormat="1" x14ac:dyDescent="0.3"/>
    <row r="6206" s="1" customFormat="1" x14ac:dyDescent="0.3"/>
    <row r="6207" s="1" customFormat="1" x14ac:dyDescent="0.3"/>
    <row r="6208" s="1" customFormat="1" x14ac:dyDescent="0.3"/>
    <row r="6209" s="1" customFormat="1" x14ac:dyDescent="0.3"/>
    <row r="6210" s="1" customFormat="1" x14ac:dyDescent="0.3"/>
    <row r="6211" s="1" customFormat="1" x14ac:dyDescent="0.3"/>
    <row r="6212" s="1" customFormat="1" x14ac:dyDescent="0.3"/>
    <row r="6213" s="1" customFormat="1" x14ac:dyDescent="0.3"/>
    <row r="6214" s="1" customFormat="1" x14ac:dyDescent="0.3"/>
    <row r="6215" s="1" customFormat="1" x14ac:dyDescent="0.3"/>
    <row r="6216" s="1" customFormat="1" x14ac:dyDescent="0.3"/>
    <row r="6217" s="1" customFormat="1" x14ac:dyDescent="0.3"/>
    <row r="6218" s="1" customFormat="1" x14ac:dyDescent="0.3"/>
    <row r="6219" s="1" customFormat="1" x14ac:dyDescent="0.3"/>
    <row r="6220" s="1" customFormat="1" x14ac:dyDescent="0.3"/>
    <row r="6221" s="1" customFormat="1" x14ac:dyDescent="0.3"/>
    <row r="6222" s="1" customFormat="1" x14ac:dyDescent="0.3"/>
    <row r="6223" s="1" customFormat="1" x14ac:dyDescent="0.3"/>
    <row r="6224" s="1" customFormat="1" x14ac:dyDescent="0.3"/>
    <row r="6225" s="1" customFormat="1" x14ac:dyDescent="0.3"/>
    <row r="6226" s="1" customFormat="1" x14ac:dyDescent="0.3"/>
    <row r="6227" s="1" customFormat="1" x14ac:dyDescent="0.3"/>
    <row r="6228" s="1" customFormat="1" x14ac:dyDescent="0.3"/>
    <row r="6229" s="1" customFormat="1" x14ac:dyDescent="0.3"/>
    <row r="6230" s="1" customFormat="1" x14ac:dyDescent="0.3"/>
    <row r="6231" s="1" customFormat="1" x14ac:dyDescent="0.3"/>
    <row r="6232" s="1" customFormat="1" x14ac:dyDescent="0.3"/>
    <row r="6233" s="1" customFormat="1" x14ac:dyDescent="0.3"/>
    <row r="6234" s="1" customFormat="1" x14ac:dyDescent="0.3"/>
    <row r="6235" s="1" customFormat="1" x14ac:dyDescent="0.3"/>
    <row r="6236" s="1" customFormat="1" x14ac:dyDescent="0.3"/>
    <row r="6237" s="1" customFormat="1" x14ac:dyDescent="0.3"/>
    <row r="6238" s="1" customFormat="1" x14ac:dyDescent="0.3"/>
    <row r="6239" s="1" customFormat="1" x14ac:dyDescent="0.3"/>
    <row r="6240" s="1" customFormat="1" x14ac:dyDescent="0.3"/>
    <row r="6241" s="1" customFormat="1" x14ac:dyDescent="0.3"/>
    <row r="6242" s="1" customFormat="1" x14ac:dyDescent="0.3"/>
    <row r="6243" s="1" customFormat="1" x14ac:dyDescent="0.3"/>
    <row r="6244" s="1" customFormat="1" x14ac:dyDescent="0.3"/>
    <row r="6245" s="1" customFormat="1" x14ac:dyDescent="0.3"/>
    <row r="6246" s="1" customFormat="1" x14ac:dyDescent="0.3"/>
    <row r="6247" s="1" customFormat="1" x14ac:dyDescent="0.3"/>
    <row r="6248" s="1" customFormat="1" x14ac:dyDescent="0.3"/>
    <row r="6249" s="1" customFormat="1" x14ac:dyDescent="0.3"/>
    <row r="6250" s="1" customFormat="1" x14ac:dyDescent="0.3"/>
    <row r="6251" s="1" customFormat="1" x14ac:dyDescent="0.3"/>
    <row r="6252" s="1" customFormat="1" x14ac:dyDescent="0.3"/>
    <row r="6253" s="1" customFormat="1" x14ac:dyDescent="0.3"/>
    <row r="6254" s="1" customFormat="1" x14ac:dyDescent="0.3"/>
    <row r="6255" s="1" customFormat="1" x14ac:dyDescent="0.3"/>
    <row r="6256" s="1" customFormat="1" x14ac:dyDescent="0.3"/>
    <row r="6257" s="1" customFormat="1" x14ac:dyDescent="0.3"/>
    <row r="6258" s="1" customFormat="1" x14ac:dyDescent="0.3"/>
    <row r="6259" s="1" customFormat="1" x14ac:dyDescent="0.3"/>
    <row r="6260" s="1" customFormat="1" x14ac:dyDescent="0.3"/>
    <row r="6261" s="1" customFormat="1" x14ac:dyDescent="0.3"/>
    <row r="6262" s="1" customFormat="1" x14ac:dyDescent="0.3"/>
    <row r="6263" s="1" customFormat="1" x14ac:dyDescent="0.3"/>
    <row r="6264" s="1" customFormat="1" x14ac:dyDescent="0.3"/>
    <row r="6265" s="1" customFormat="1" x14ac:dyDescent="0.3"/>
    <row r="6266" s="1" customFormat="1" x14ac:dyDescent="0.3"/>
    <row r="6267" s="1" customFormat="1" x14ac:dyDescent="0.3"/>
    <row r="6268" s="1" customFormat="1" x14ac:dyDescent="0.3"/>
    <row r="6269" s="1" customFormat="1" x14ac:dyDescent="0.3"/>
    <row r="6270" s="1" customFormat="1" x14ac:dyDescent="0.3"/>
    <row r="6271" s="1" customFormat="1" x14ac:dyDescent="0.3"/>
    <row r="6272" s="1" customFormat="1" x14ac:dyDescent="0.3"/>
    <row r="6273" s="1" customFormat="1" x14ac:dyDescent="0.3"/>
    <row r="6274" s="1" customFormat="1" x14ac:dyDescent="0.3"/>
    <row r="6275" s="1" customFormat="1" x14ac:dyDescent="0.3"/>
    <row r="6276" s="1" customFormat="1" x14ac:dyDescent="0.3"/>
    <row r="6277" s="1" customFormat="1" x14ac:dyDescent="0.3"/>
    <row r="6278" s="1" customFormat="1" x14ac:dyDescent="0.3"/>
    <row r="6279" s="1" customFormat="1" x14ac:dyDescent="0.3"/>
    <row r="6280" s="1" customFormat="1" x14ac:dyDescent="0.3"/>
    <row r="6281" s="1" customFormat="1" x14ac:dyDescent="0.3"/>
    <row r="6282" s="1" customFormat="1" x14ac:dyDescent="0.3"/>
    <row r="6283" s="1" customFormat="1" x14ac:dyDescent="0.3"/>
    <row r="6284" s="1" customFormat="1" x14ac:dyDescent="0.3"/>
    <row r="6285" s="1" customFormat="1" x14ac:dyDescent="0.3"/>
    <row r="6286" s="1" customFormat="1" x14ac:dyDescent="0.3"/>
    <row r="6287" s="1" customFormat="1" x14ac:dyDescent="0.3"/>
    <row r="6288" s="1" customFormat="1" x14ac:dyDescent="0.3"/>
    <row r="6289" s="1" customFormat="1" x14ac:dyDescent="0.3"/>
    <row r="6290" s="1" customFormat="1" x14ac:dyDescent="0.3"/>
    <row r="6291" s="1" customFormat="1" x14ac:dyDescent="0.3"/>
    <row r="6292" s="1" customFormat="1" x14ac:dyDescent="0.3"/>
    <row r="6293" s="1" customFormat="1" x14ac:dyDescent="0.3"/>
    <row r="6294" s="1" customFormat="1" x14ac:dyDescent="0.3"/>
    <row r="6295" s="1" customFormat="1" x14ac:dyDescent="0.3"/>
    <row r="6296" s="1" customFormat="1" x14ac:dyDescent="0.3"/>
    <row r="6297" s="1" customFormat="1" x14ac:dyDescent="0.3"/>
    <row r="6298" s="1" customFormat="1" x14ac:dyDescent="0.3"/>
    <row r="6299" s="1" customFormat="1" x14ac:dyDescent="0.3"/>
    <row r="6300" s="1" customFormat="1" x14ac:dyDescent="0.3"/>
    <row r="6301" s="1" customFormat="1" x14ac:dyDescent="0.3"/>
    <row r="6302" s="1" customFormat="1" x14ac:dyDescent="0.3"/>
    <row r="6303" s="1" customFormat="1" x14ac:dyDescent="0.3"/>
    <row r="6304" s="1" customFormat="1" x14ac:dyDescent="0.3"/>
    <row r="6305" s="1" customFormat="1" x14ac:dyDescent="0.3"/>
    <row r="6306" s="1" customFormat="1" x14ac:dyDescent="0.3"/>
    <row r="6307" s="1" customFormat="1" x14ac:dyDescent="0.3"/>
    <row r="6308" s="1" customFormat="1" x14ac:dyDescent="0.3"/>
    <row r="6309" s="1" customFormat="1" x14ac:dyDescent="0.3"/>
    <row r="6310" s="1" customFormat="1" x14ac:dyDescent="0.3"/>
    <row r="6311" s="1" customFormat="1" x14ac:dyDescent="0.3"/>
    <row r="6312" s="1" customFormat="1" x14ac:dyDescent="0.3"/>
    <row r="6313" s="1" customFormat="1" x14ac:dyDescent="0.3"/>
    <row r="6314" s="1" customFormat="1" x14ac:dyDescent="0.3"/>
    <row r="6315" s="1" customFormat="1" x14ac:dyDescent="0.3"/>
    <row r="6316" s="1" customFormat="1" x14ac:dyDescent="0.3"/>
    <row r="6317" s="1" customFormat="1" x14ac:dyDescent="0.3"/>
    <row r="6318" s="1" customFormat="1" x14ac:dyDescent="0.3"/>
    <row r="6319" s="1" customFormat="1" x14ac:dyDescent="0.3"/>
    <row r="6320" s="1" customFormat="1" x14ac:dyDescent="0.3"/>
    <row r="6321" s="1" customFormat="1" x14ac:dyDescent="0.3"/>
    <row r="6322" s="1" customFormat="1" x14ac:dyDescent="0.3"/>
    <row r="6323" s="1" customFormat="1" x14ac:dyDescent="0.3"/>
    <row r="6324" s="1" customFormat="1" x14ac:dyDescent="0.3"/>
    <row r="6325" s="1" customFormat="1" x14ac:dyDescent="0.3"/>
    <row r="6326" s="1" customFormat="1" x14ac:dyDescent="0.3"/>
    <row r="6327" s="1" customFormat="1" x14ac:dyDescent="0.3"/>
    <row r="6328" s="1" customFormat="1" x14ac:dyDescent="0.3"/>
    <row r="6329" s="1" customFormat="1" x14ac:dyDescent="0.3"/>
    <row r="6330" s="1" customFormat="1" x14ac:dyDescent="0.3"/>
    <row r="6331" s="1" customFormat="1" x14ac:dyDescent="0.3"/>
    <row r="6332" s="1" customFormat="1" x14ac:dyDescent="0.3"/>
    <row r="6333" s="1" customFormat="1" x14ac:dyDescent="0.3"/>
    <row r="6334" s="1" customFormat="1" x14ac:dyDescent="0.3"/>
    <row r="6335" s="1" customFormat="1" x14ac:dyDescent="0.3"/>
    <row r="6336" s="1" customFormat="1" x14ac:dyDescent="0.3"/>
    <row r="6337" s="1" customFormat="1" x14ac:dyDescent="0.3"/>
    <row r="6338" s="1" customFormat="1" x14ac:dyDescent="0.3"/>
    <row r="6339" s="1" customFormat="1" x14ac:dyDescent="0.3"/>
    <row r="6340" s="1" customFormat="1" x14ac:dyDescent="0.3"/>
    <row r="6341" s="1" customFormat="1" x14ac:dyDescent="0.3"/>
    <row r="6342" s="1" customFormat="1" x14ac:dyDescent="0.3"/>
    <row r="6343" s="1" customFormat="1" x14ac:dyDescent="0.3"/>
    <row r="6344" s="1" customFormat="1" x14ac:dyDescent="0.3"/>
    <row r="6345" s="1" customFormat="1" x14ac:dyDescent="0.3"/>
    <row r="6346" s="1" customFormat="1" x14ac:dyDescent="0.3"/>
    <row r="6347" s="1" customFormat="1" x14ac:dyDescent="0.3"/>
    <row r="6348" s="1" customFormat="1" x14ac:dyDescent="0.3"/>
    <row r="6349" s="1" customFormat="1" x14ac:dyDescent="0.3"/>
    <row r="6350" s="1" customFormat="1" x14ac:dyDescent="0.3"/>
    <row r="6351" s="1" customFormat="1" x14ac:dyDescent="0.3"/>
    <row r="6352" s="1" customFormat="1" x14ac:dyDescent="0.3"/>
    <row r="6353" s="1" customFormat="1" x14ac:dyDescent="0.3"/>
    <row r="6354" s="1" customFormat="1" x14ac:dyDescent="0.3"/>
    <row r="6355" s="1" customFormat="1" x14ac:dyDescent="0.3"/>
    <row r="6356" s="1" customFormat="1" x14ac:dyDescent="0.3"/>
    <row r="6357" s="1" customFormat="1" x14ac:dyDescent="0.3"/>
    <row r="6358" s="1" customFormat="1" x14ac:dyDescent="0.3"/>
    <row r="6359" s="1" customFormat="1" x14ac:dyDescent="0.3"/>
    <row r="6360" s="1" customFormat="1" x14ac:dyDescent="0.3"/>
    <row r="6361" s="1" customFormat="1" x14ac:dyDescent="0.3"/>
    <row r="6362" s="1" customFormat="1" x14ac:dyDescent="0.3"/>
    <row r="6363" s="1" customFormat="1" x14ac:dyDescent="0.3"/>
    <row r="6364" s="1" customFormat="1" x14ac:dyDescent="0.3"/>
    <row r="6365" s="1" customFormat="1" x14ac:dyDescent="0.3"/>
    <row r="6366" s="1" customFormat="1" x14ac:dyDescent="0.3"/>
    <row r="6367" s="1" customFormat="1" x14ac:dyDescent="0.3"/>
    <row r="6368" s="1" customFormat="1" x14ac:dyDescent="0.3"/>
    <row r="6369" s="1" customFormat="1" x14ac:dyDescent="0.3"/>
    <row r="6370" s="1" customFormat="1" x14ac:dyDescent="0.3"/>
    <row r="6371" s="1" customFormat="1" x14ac:dyDescent="0.3"/>
    <row r="6372" s="1" customFormat="1" x14ac:dyDescent="0.3"/>
    <row r="6373" s="1" customFormat="1" x14ac:dyDescent="0.3"/>
    <row r="6374" s="1" customFormat="1" x14ac:dyDescent="0.3"/>
    <row r="6375" s="1" customFormat="1" x14ac:dyDescent="0.3"/>
    <row r="6376" s="1" customFormat="1" x14ac:dyDescent="0.3"/>
    <row r="6377" s="1" customFormat="1" x14ac:dyDescent="0.3"/>
    <row r="6378" s="1" customFormat="1" x14ac:dyDescent="0.3"/>
    <row r="6379" s="1" customFormat="1" x14ac:dyDescent="0.3"/>
    <row r="6380" s="1" customFormat="1" x14ac:dyDescent="0.3"/>
    <row r="6381" s="1" customFormat="1" x14ac:dyDescent="0.3"/>
    <row r="6382" s="1" customFormat="1" x14ac:dyDescent="0.3"/>
    <row r="6383" s="1" customFormat="1" x14ac:dyDescent="0.3"/>
    <row r="6384" s="1" customFormat="1" x14ac:dyDescent="0.3"/>
    <row r="6385" s="1" customFormat="1" x14ac:dyDescent="0.3"/>
    <row r="6386" s="1" customFormat="1" x14ac:dyDescent="0.3"/>
    <row r="6387" s="1" customFormat="1" x14ac:dyDescent="0.3"/>
    <row r="6388" s="1" customFormat="1" x14ac:dyDescent="0.3"/>
    <row r="6389" s="1" customFormat="1" x14ac:dyDescent="0.3"/>
    <row r="6390" s="1" customFormat="1" x14ac:dyDescent="0.3"/>
    <row r="6391" s="1" customFormat="1" x14ac:dyDescent="0.3"/>
    <row r="6392" s="1" customFormat="1" x14ac:dyDescent="0.3"/>
    <row r="6393" s="1" customFormat="1" x14ac:dyDescent="0.3"/>
    <row r="6394" s="1" customFormat="1" x14ac:dyDescent="0.3"/>
    <row r="6395" s="1" customFormat="1" x14ac:dyDescent="0.3"/>
    <row r="6396" s="1" customFormat="1" x14ac:dyDescent="0.3"/>
    <row r="6397" s="1" customFormat="1" x14ac:dyDescent="0.3"/>
    <row r="6398" s="1" customFormat="1" x14ac:dyDescent="0.3"/>
    <row r="6399" s="1" customFormat="1" x14ac:dyDescent="0.3"/>
    <row r="6400" s="1" customFormat="1" x14ac:dyDescent="0.3"/>
    <row r="6401" s="1" customFormat="1" x14ac:dyDescent="0.3"/>
    <row r="6402" s="1" customFormat="1" x14ac:dyDescent="0.3"/>
    <row r="6403" s="1" customFormat="1" x14ac:dyDescent="0.3"/>
    <row r="6404" s="1" customFormat="1" x14ac:dyDescent="0.3"/>
    <row r="6405" s="1" customFormat="1" x14ac:dyDescent="0.3"/>
    <row r="6406" s="1" customFormat="1" x14ac:dyDescent="0.3"/>
    <row r="6407" s="1" customFormat="1" x14ac:dyDescent="0.3"/>
    <row r="6408" s="1" customFormat="1" x14ac:dyDescent="0.3"/>
    <row r="6409" s="1" customFormat="1" x14ac:dyDescent="0.3"/>
    <row r="6410" s="1" customFormat="1" x14ac:dyDescent="0.3"/>
    <row r="6411" s="1" customFormat="1" x14ac:dyDescent="0.3"/>
    <row r="6412" s="1" customFormat="1" x14ac:dyDescent="0.3"/>
    <row r="6413" s="1" customFormat="1" x14ac:dyDescent="0.3"/>
    <row r="6414" s="1" customFormat="1" x14ac:dyDescent="0.3"/>
    <row r="6415" s="1" customFormat="1" x14ac:dyDescent="0.3"/>
    <row r="6416" s="1" customFormat="1" x14ac:dyDescent="0.3"/>
    <row r="6417" s="1" customFormat="1" x14ac:dyDescent="0.3"/>
    <row r="6418" s="1" customFormat="1" x14ac:dyDescent="0.3"/>
    <row r="6419" s="1" customFormat="1" x14ac:dyDescent="0.3"/>
    <row r="6420" s="1" customFormat="1" x14ac:dyDescent="0.3"/>
    <row r="6421" s="1" customFormat="1" x14ac:dyDescent="0.3"/>
    <row r="6422" s="1" customFormat="1" x14ac:dyDescent="0.3"/>
    <row r="6423" s="1" customFormat="1" x14ac:dyDescent="0.3"/>
    <row r="6424" s="1" customFormat="1" x14ac:dyDescent="0.3"/>
    <row r="6425" s="1" customFormat="1" x14ac:dyDescent="0.3"/>
    <row r="6426" s="1" customFormat="1" x14ac:dyDescent="0.3"/>
    <row r="6427" s="1" customFormat="1" x14ac:dyDescent="0.3"/>
    <row r="6428" s="1" customFormat="1" x14ac:dyDescent="0.3"/>
    <row r="6429" s="1" customFormat="1" x14ac:dyDescent="0.3"/>
    <row r="6430" s="1" customFormat="1" x14ac:dyDescent="0.3"/>
    <row r="6431" s="1" customFormat="1" x14ac:dyDescent="0.3"/>
    <row r="6432" s="1" customFormat="1" x14ac:dyDescent="0.3"/>
    <row r="6433" s="1" customFormat="1" x14ac:dyDescent="0.3"/>
    <row r="6434" s="1" customFormat="1" x14ac:dyDescent="0.3"/>
    <row r="6435" s="1" customFormat="1" x14ac:dyDescent="0.3"/>
    <row r="6436" s="1" customFormat="1" x14ac:dyDescent="0.3"/>
    <row r="6437" s="1" customFormat="1" x14ac:dyDescent="0.3"/>
    <row r="6438" s="1" customFormat="1" x14ac:dyDescent="0.3"/>
    <row r="6439" s="1" customFormat="1" x14ac:dyDescent="0.3"/>
    <row r="6440" s="1" customFormat="1" x14ac:dyDescent="0.3"/>
    <row r="6441" s="1" customFormat="1" x14ac:dyDescent="0.3"/>
    <row r="6442" s="1" customFormat="1" x14ac:dyDescent="0.3"/>
    <row r="6443" s="1" customFormat="1" x14ac:dyDescent="0.3"/>
    <row r="6444" s="1" customFormat="1" x14ac:dyDescent="0.3"/>
    <row r="6445" s="1" customFormat="1" x14ac:dyDescent="0.3"/>
    <row r="6446" s="1" customFormat="1" x14ac:dyDescent="0.3"/>
    <row r="6447" s="1" customFormat="1" x14ac:dyDescent="0.3"/>
    <row r="6448" s="1" customFormat="1" x14ac:dyDescent="0.3"/>
    <row r="6449" s="1" customFormat="1" x14ac:dyDescent="0.3"/>
    <row r="6450" s="1" customFormat="1" x14ac:dyDescent="0.3"/>
    <row r="6451" s="1" customFormat="1" x14ac:dyDescent="0.3"/>
    <row r="6452" s="1" customFormat="1" x14ac:dyDescent="0.3"/>
    <row r="6453" s="1" customFormat="1" x14ac:dyDescent="0.3"/>
    <row r="6454" s="1" customFormat="1" x14ac:dyDescent="0.3"/>
    <row r="6455" s="1" customFormat="1" x14ac:dyDescent="0.3"/>
    <row r="6456" s="1" customFormat="1" x14ac:dyDescent="0.3"/>
    <row r="6457" s="1" customFormat="1" x14ac:dyDescent="0.3"/>
    <row r="6458" s="1" customFormat="1" x14ac:dyDescent="0.3"/>
    <row r="6459" s="1" customFormat="1" x14ac:dyDescent="0.3"/>
    <row r="6460" s="1" customFormat="1" x14ac:dyDescent="0.3"/>
    <row r="6461" s="1" customFormat="1" x14ac:dyDescent="0.3"/>
    <row r="6462" s="1" customFormat="1" x14ac:dyDescent="0.3"/>
    <row r="6463" s="1" customFormat="1" x14ac:dyDescent="0.3"/>
    <row r="6464" s="1" customFormat="1" x14ac:dyDescent="0.3"/>
    <row r="6465" s="1" customFormat="1" x14ac:dyDescent="0.3"/>
    <row r="6466" s="1" customFormat="1" x14ac:dyDescent="0.3"/>
    <row r="6467" s="1" customFormat="1" x14ac:dyDescent="0.3"/>
    <row r="6468" s="1" customFormat="1" x14ac:dyDescent="0.3"/>
    <row r="6469" s="1" customFormat="1" x14ac:dyDescent="0.3"/>
    <row r="6470" s="1" customFormat="1" x14ac:dyDescent="0.3"/>
    <row r="6471" s="1" customFormat="1" x14ac:dyDescent="0.3"/>
    <row r="6472" s="1" customFormat="1" x14ac:dyDescent="0.3"/>
    <row r="6473" s="1" customFormat="1" x14ac:dyDescent="0.3"/>
    <row r="6474" s="1" customFormat="1" x14ac:dyDescent="0.3"/>
    <row r="6475" s="1" customFormat="1" x14ac:dyDescent="0.3"/>
    <row r="6476" s="1" customFormat="1" x14ac:dyDescent="0.3"/>
    <row r="6477" s="1" customFormat="1" x14ac:dyDescent="0.3"/>
    <row r="6478" s="1" customFormat="1" x14ac:dyDescent="0.3"/>
    <row r="6479" s="1" customFormat="1" x14ac:dyDescent="0.3"/>
    <row r="6480" s="1" customFormat="1" x14ac:dyDescent="0.3"/>
    <row r="6481" s="1" customFormat="1" x14ac:dyDescent="0.3"/>
    <row r="6482" s="1" customFormat="1" x14ac:dyDescent="0.3"/>
    <row r="6483" s="1" customFormat="1" x14ac:dyDescent="0.3"/>
    <row r="6484" s="1" customFormat="1" x14ac:dyDescent="0.3"/>
    <row r="6485" s="1" customFormat="1" x14ac:dyDescent="0.3"/>
    <row r="6486" s="1" customFormat="1" x14ac:dyDescent="0.3"/>
    <row r="6487" s="1" customFormat="1" x14ac:dyDescent="0.3"/>
    <row r="6488" s="1" customFormat="1" x14ac:dyDescent="0.3"/>
    <row r="6489" s="1" customFormat="1" x14ac:dyDescent="0.3"/>
    <row r="6490" s="1" customFormat="1" x14ac:dyDescent="0.3"/>
    <row r="6491" s="1" customFormat="1" x14ac:dyDescent="0.3"/>
    <row r="6492" s="1" customFormat="1" x14ac:dyDescent="0.3"/>
    <row r="6493" s="1" customFormat="1" x14ac:dyDescent="0.3"/>
    <row r="6494" s="1" customFormat="1" x14ac:dyDescent="0.3"/>
    <row r="6495" s="1" customFormat="1" x14ac:dyDescent="0.3"/>
    <row r="6496" s="1" customFormat="1" x14ac:dyDescent="0.3"/>
    <row r="6497" s="1" customFormat="1" x14ac:dyDescent="0.3"/>
    <row r="6498" s="1" customFormat="1" x14ac:dyDescent="0.3"/>
    <row r="6499" s="1" customFormat="1" x14ac:dyDescent="0.3"/>
    <row r="6500" s="1" customFormat="1" x14ac:dyDescent="0.3"/>
    <row r="6501" s="1" customFormat="1" x14ac:dyDescent="0.3"/>
    <row r="6502" s="1" customFormat="1" x14ac:dyDescent="0.3"/>
    <row r="6503" s="1" customFormat="1" x14ac:dyDescent="0.3"/>
    <row r="6504" s="1" customFormat="1" x14ac:dyDescent="0.3"/>
    <row r="6505" s="1" customFormat="1" x14ac:dyDescent="0.3"/>
    <row r="6506" s="1" customFormat="1" x14ac:dyDescent="0.3"/>
    <row r="6507" s="1" customFormat="1" x14ac:dyDescent="0.3"/>
    <row r="6508" s="1" customFormat="1" x14ac:dyDescent="0.3"/>
    <row r="6509" s="1" customFormat="1" x14ac:dyDescent="0.3"/>
    <row r="6510" s="1" customFormat="1" x14ac:dyDescent="0.3"/>
    <row r="6511" s="1" customFormat="1" x14ac:dyDescent="0.3"/>
    <row r="6512" s="1" customFormat="1" x14ac:dyDescent="0.3"/>
    <row r="6513" s="1" customFormat="1" x14ac:dyDescent="0.3"/>
    <row r="6514" s="1" customFormat="1" x14ac:dyDescent="0.3"/>
    <row r="6515" s="1" customFormat="1" x14ac:dyDescent="0.3"/>
    <row r="6516" s="1" customFormat="1" x14ac:dyDescent="0.3"/>
    <row r="6517" s="1" customFormat="1" x14ac:dyDescent="0.3"/>
    <row r="6518" s="1" customFormat="1" x14ac:dyDescent="0.3"/>
    <row r="6519" s="1" customFormat="1" x14ac:dyDescent="0.3"/>
    <row r="6520" s="1" customFormat="1" x14ac:dyDescent="0.3"/>
    <row r="6521" s="1" customFormat="1" x14ac:dyDescent="0.3"/>
    <row r="6522" s="1" customFormat="1" x14ac:dyDescent="0.3"/>
    <row r="6523" s="1" customFormat="1" x14ac:dyDescent="0.3"/>
    <row r="6524" s="1" customFormat="1" x14ac:dyDescent="0.3"/>
    <row r="6525" s="1" customFormat="1" x14ac:dyDescent="0.3"/>
    <row r="6526" s="1" customFormat="1" x14ac:dyDescent="0.3"/>
    <row r="6527" s="1" customFormat="1" x14ac:dyDescent="0.3"/>
    <row r="6528" s="1" customFormat="1" x14ac:dyDescent="0.3"/>
    <row r="6529" s="1" customFormat="1" x14ac:dyDescent="0.3"/>
    <row r="6530" s="1" customFormat="1" x14ac:dyDescent="0.3"/>
    <row r="6531" s="1" customFormat="1" x14ac:dyDescent="0.3"/>
    <row r="6532" s="1" customFormat="1" x14ac:dyDescent="0.3"/>
    <row r="6533" s="1" customFormat="1" x14ac:dyDescent="0.3"/>
    <row r="6534" s="1" customFormat="1" x14ac:dyDescent="0.3"/>
    <row r="6535" s="1" customFormat="1" x14ac:dyDescent="0.3"/>
    <row r="6536" s="1" customFormat="1" x14ac:dyDescent="0.3"/>
    <row r="6537" s="1" customFormat="1" x14ac:dyDescent="0.3"/>
    <row r="6538" s="1" customFormat="1" x14ac:dyDescent="0.3"/>
    <row r="6539" s="1" customFormat="1" x14ac:dyDescent="0.3"/>
    <row r="6540" s="1" customFormat="1" x14ac:dyDescent="0.3"/>
    <row r="6541" s="1" customFormat="1" x14ac:dyDescent="0.3"/>
    <row r="6542" s="1" customFormat="1" x14ac:dyDescent="0.3"/>
    <row r="6543" s="1" customFormat="1" x14ac:dyDescent="0.3"/>
    <row r="6544" s="1" customFormat="1" x14ac:dyDescent="0.3"/>
    <row r="6545" s="1" customFormat="1" x14ac:dyDescent="0.3"/>
    <row r="6546" s="1" customFormat="1" x14ac:dyDescent="0.3"/>
    <row r="6547" s="1" customFormat="1" x14ac:dyDescent="0.3"/>
    <row r="6548" s="1" customFormat="1" x14ac:dyDescent="0.3"/>
    <row r="6549" s="1" customFormat="1" x14ac:dyDescent="0.3"/>
    <row r="6550" s="1" customFormat="1" x14ac:dyDescent="0.3"/>
    <row r="6551" s="1" customFormat="1" x14ac:dyDescent="0.3"/>
    <row r="6552" s="1" customFormat="1" x14ac:dyDescent="0.3"/>
    <row r="6553" s="1" customFormat="1" x14ac:dyDescent="0.3"/>
    <row r="6554" s="1" customFormat="1" x14ac:dyDescent="0.3"/>
    <row r="6555" s="1" customFormat="1" x14ac:dyDescent="0.3"/>
    <row r="6556" s="1" customFormat="1" x14ac:dyDescent="0.3"/>
    <row r="6557" s="1" customFormat="1" x14ac:dyDescent="0.3"/>
    <row r="6558" s="1" customFormat="1" x14ac:dyDescent="0.3"/>
    <row r="6559" s="1" customFormat="1" x14ac:dyDescent="0.3"/>
    <row r="6560" s="1" customFormat="1" x14ac:dyDescent="0.3"/>
    <row r="6561" s="1" customFormat="1" x14ac:dyDescent="0.3"/>
    <row r="6562" s="1" customFormat="1" x14ac:dyDescent="0.3"/>
    <row r="6563" s="1" customFormat="1" x14ac:dyDescent="0.3"/>
    <row r="6564" s="1" customFormat="1" x14ac:dyDescent="0.3"/>
    <row r="6565" s="1" customFormat="1" x14ac:dyDescent="0.3"/>
    <row r="6566" s="1" customFormat="1" x14ac:dyDescent="0.3"/>
    <row r="6567" s="1" customFormat="1" x14ac:dyDescent="0.3"/>
    <row r="6568" s="1" customFormat="1" x14ac:dyDescent="0.3"/>
    <row r="6569" s="1" customFormat="1" x14ac:dyDescent="0.3"/>
    <row r="6570" s="1" customFormat="1" x14ac:dyDescent="0.3"/>
    <row r="6571" s="1" customFormat="1" x14ac:dyDescent="0.3"/>
    <row r="6572" s="1" customFormat="1" x14ac:dyDescent="0.3"/>
    <row r="6573" s="1" customFormat="1" x14ac:dyDescent="0.3"/>
    <row r="6574" s="1" customFormat="1" x14ac:dyDescent="0.3"/>
    <row r="6575" s="1" customFormat="1" x14ac:dyDescent="0.3"/>
    <row r="6576" s="1" customFormat="1" x14ac:dyDescent="0.3"/>
    <row r="6577" s="1" customFormat="1" x14ac:dyDescent="0.3"/>
    <row r="6578" s="1" customFormat="1" x14ac:dyDescent="0.3"/>
    <row r="6579" s="1" customFormat="1" x14ac:dyDescent="0.3"/>
    <row r="6580" s="1" customFormat="1" x14ac:dyDescent="0.3"/>
    <row r="6581" s="1" customFormat="1" x14ac:dyDescent="0.3"/>
    <row r="6582" s="1" customFormat="1" x14ac:dyDescent="0.3"/>
    <row r="6583" s="1" customFormat="1" x14ac:dyDescent="0.3"/>
    <row r="6584" s="1" customFormat="1" x14ac:dyDescent="0.3"/>
    <row r="6585" s="1" customFormat="1" x14ac:dyDescent="0.3"/>
    <row r="6586" s="1" customFormat="1" x14ac:dyDescent="0.3"/>
    <row r="6587" s="1" customFormat="1" x14ac:dyDescent="0.3"/>
    <row r="6588" s="1" customFormat="1" x14ac:dyDescent="0.3"/>
    <row r="6589" s="1" customFormat="1" x14ac:dyDescent="0.3"/>
    <row r="6590" s="1" customFormat="1" x14ac:dyDescent="0.3"/>
    <row r="6591" s="1" customFormat="1" x14ac:dyDescent="0.3"/>
    <row r="6592" s="1" customFormat="1" x14ac:dyDescent="0.3"/>
    <row r="6593" s="1" customFormat="1" x14ac:dyDescent="0.3"/>
    <row r="6594" s="1" customFormat="1" x14ac:dyDescent="0.3"/>
    <row r="6595" s="1" customFormat="1" x14ac:dyDescent="0.3"/>
    <row r="6596" s="1" customFormat="1" x14ac:dyDescent="0.3"/>
    <row r="6597" s="1" customFormat="1" x14ac:dyDescent="0.3"/>
    <row r="6598" s="1" customFormat="1" x14ac:dyDescent="0.3"/>
    <row r="6599" s="1" customFormat="1" x14ac:dyDescent="0.3"/>
    <row r="6600" s="1" customFormat="1" x14ac:dyDescent="0.3"/>
    <row r="6601" s="1" customFormat="1" x14ac:dyDescent="0.3"/>
    <row r="6602" s="1" customFormat="1" x14ac:dyDescent="0.3"/>
    <row r="6603" s="1" customFormat="1" x14ac:dyDescent="0.3"/>
    <row r="6604" s="1" customFormat="1" x14ac:dyDescent="0.3"/>
    <row r="6605" s="1" customFormat="1" x14ac:dyDescent="0.3"/>
    <row r="6606" s="1" customFormat="1" x14ac:dyDescent="0.3"/>
    <row r="6607" s="1" customFormat="1" x14ac:dyDescent="0.3"/>
    <row r="6608" s="1" customFormat="1" x14ac:dyDescent="0.3"/>
    <row r="6609" s="1" customFormat="1" x14ac:dyDescent="0.3"/>
    <row r="6610" s="1" customFormat="1" x14ac:dyDescent="0.3"/>
    <row r="6611" s="1" customFormat="1" x14ac:dyDescent="0.3"/>
    <row r="6612" s="1" customFormat="1" x14ac:dyDescent="0.3"/>
    <row r="6613" s="1" customFormat="1" x14ac:dyDescent="0.3"/>
    <row r="6614" s="1" customFormat="1" x14ac:dyDescent="0.3"/>
    <row r="6615" s="1" customFormat="1" x14ac:dyDescent="0.3"/>
    <row r="6616" s="1" customFormat="1" x14ac:dyDescent="0.3"/>
    <row r="6617" s="1" customFormat="1" x14ac:dyDescent="0.3"/>
    <row r="6618" s="1" customFormat="1" x14ac:dyDescent="0.3"/>
    <row r="6619" s="1" customFormat="1" x14ac:dyDescent="0.3"/>
    <row r="6620" s="1" customFormat="1" x14ac:dyDescent="0.3"/>
    <row r="6621" s="1" customFormat="1" x14ac:dyDescent="0.3"/>
    <row r="6622" s="1" customFormat="1" x14ac:dyDescent="0.3"/>
    <row r="6623" s="1" customFormat="1" x14ac:dyDescent="0.3"/>
    <row r="6624" s="1" customFormat="1" x14ac:dyDescent="0.3"/>
    <row r="6625" s="1" customFormat="1" x14ac:dyDescent="0.3"/>
    <row r="6626" s="1" customFormat="1" x14ac:dyDescent="0.3"/>
    <row r="6627" s="1" customFormat="1" x14ac:dyDescent="0.3"/>
    <row r="6628" s="1" customFormat="1" x14ac:dyDescent="0.3"/>
    <row r="6629" s="1" customFormat="1" x14ac:dyDescent="0.3"/>
    <row r="6630" s="1" customFormat="1" x14ac:dyDescent="0.3"/>
    <row r="6631" s="1" customFormat="1" x14ac:dyDescent="0.3"/>
    <row r="6632" s="1" customFormat="1" x14ac:dyDescent="0.3"/>
    <row r="6633" s="1" customFormat="1" x14ac:dyDescent="0.3"/>
    <row r="6634" s="1" customFormat="1" x14ac:dyDescent="0.3"/>
    <row r="6635" s="1" customFormat="1" x14ac:dyDescent="0.3"/>
    <row r="6636" s="1" customFormat="1" x14ac:dyDescent="0.3"/>
    <row r="6637" s="1" customFormat="1" x14ac:dyDescent="0.3"/>
    <row r="6638" s="1" customFormat="1" x14ac:dyDescent="0.3"/>
    <row r="6639" s="1" customFormat="1" x14ac:dyDescent="0.3"/>
    <row r="6640" s="1" customFormat="1" x14ac:dyDescent="0.3"/>
    <row r="6641" s="1" customFormat="1" x14ac:dyDescent="0.3"/>
    <row r="6642" s="1" customFormat="1" x14ac:dyDescent="0.3"/>
    <row r="6643" s="1" customFormat="1" x14ac:dyDescent="0.3"/>
    <row r="6644" s="1" customFormat="1" x14ac:dyDescent="0.3"/>
    <row r="6645" s="1" customFormat="1" x14ac:dyDescent="0.3"/>
    <row r="6646" s="1" customFormat="1" x14ac:dyDescent="0.3"/>
    <row r="6647" s="1" customFormat="1" x14ac:dyDescent="0.3"/>
    <row r="6648" s="1" customFormat="1" x14ac:dyDescent="0.3"/>
    <row r="6649" s="1" customFormat="1" x14ac:dyDescent="0.3"/>
    <row r="6650" s="1" customFormat="1" x14ac:dyDescent="0.3"/>
    <row r="6651" s="1" customFormat="1" x14ac:dyDescent="0.3"/>
    <row r="6652" s="1" customFormat="1" x14ac:dyDescent="0.3"/>
    <row r="6653" s="1" customFormat="1" x14ac:dyDescent="0.3"/>
    <row r="6654" s="1" customFormat="1" x14ac:dyDescent="0.3"/>
    <row r="6655" s="1" customFormat="1" x14ac:dyDescent="0.3"/>
    <row r="6656" s="1" customFormat="1" x14ac:dyDescent="0.3"/>
    <row r="6657" s="1" customFormat="1" x14ac:dyDescent="0.3"/>
    <row r="6658" s="1" customFormat="1" x14ac:dyDescent="0.3"/>
    <row r="6659" s="1" customFormat="1" x14ac:dyDescent="0.3"/>
    <row r="6660" s="1" customFormat="1" x14ac:dyDescent="0.3"/>
    <row r="6661" s="1" customFormat="1" x14ac:dyDescent="0.3"/>
    <row r="6662" s="1" customFormat="1" x14ac:dyDescent="0.3"/>
    <row r="6663" s="1" customFormat="1" x14ac:dyDescent="0.3"/>
    <row r="6664" s="1" customFormat="1" x14ac:dyDescent="0.3"/>
    <row r="6665" s="1" customFormat="1" x14ac:dyDescent="0.3"/>
    <row r="6666" s="1" customFormat="1" x14ac:dyDescent="0.3"/>
    <row r="6667" s="1" customFormat="1" x14ac:dyDescent="0.3"/>
    <row r="6668" s="1" customFormat="1" x14ac:dyDescent="0.3"/>
    <row r="6669" s="1" customFormat="1" x14ac:dyDescent="0.3"/>
    <row r="6670" s="1" customFormat="1" x14ac:dyDescent="0.3"/>
    <row r="6671" s="1" customFormat="1" x14ac:dyDescent="0.3"/>
    <row r="6672" s="1" customFormat="1" x14ac:dyDescent="0.3"/>
    <row r="6673" s="1" customFormat="1" x14ac:dyDescent="0.3"/>
    <row r="6674" s="1" customFormat="1" x14ac:dyDescent="0.3"/>
    <row r="6675" s="1" customFormat="1" x14ac:dyDescent="0.3"/>
    <row r="6676" s="1" customFormat="1" x14ac:dyDescent="0.3"/>
    <row r="6677" s="1" customFormat="1" x14ac:dyDescent="0.3"/>
    <row r="6678" s="1" customFormat="1" x14ac:dyDescent="0.3"/>
    <row r="6679" s="1" customFormat="1" x14ac:dyDescent="0.3"/>
    <row r="6680" s="1" customFormat="1" x14ac:dyDescent="0.3"/>
    <row r="6681" s="1" customFormat="1" x14ac:dyDescent="0.3"/>
    <row r="6682" s="1" customFormat="1" x14ac:dyDescent="0.3"/>
    <row r="6683" s="1" customFormat="1" x14ac:dyDescent="0.3"/>
    <row r="6684" s="1" customFormat="1" x14ac:dyDescent="0.3"/>
    <row r="6685" s="1" customFormat="1" x14ac:dyDescent="0.3"/>
    <row r="6686" s="1" customFormat="1" x14ac:dyDescent="0.3"/>
    <row r="6687" s="1" customFormat="1" x14ac:dyDescent="0.3"/>
    <row r="6688" s="1" customFormat="1" x14ac:dyDescent="0.3"/>
    <row r="6689" s="1" customFormat="1" x14ac:dyDescent="0.3"/>
    <row r="6690" s="1" customFormat="1" x14ac:dyDescent="0.3"/>
    <row r="6691" s="1" customFormat="1" x14ac:dyDescent="0.3"/>
    <row r="6692" s="1" customFormat="1" x14ac:dyDescent="0.3"/>
    <row r="6693" s="1" customFormat="1" x14ac:dyDescent="0.3"/>
    <row r="6694" s="1" customFormat="1" x14ac:dyDescent="0.3"/>
    <row r="6695" s="1" customFormat="1" x14ac:dyDescent="0.3"/>
    <row r="6696" s="1" customFormat="1" x14ac:dyDescent="0.3"/>
    <row r="6697" s="1" customFormat="1" x14ac:dyDescent="0.3"/>
    <row r="6698" s="1" customFormat="1" x14ac:dyDescent="0.3"/>
    <row r="6699" s="1" customFormat="1" x14ac:dyDescent="0.3"/>
    <row r="6700" s="1" customFormat="1" x14ac:dyDescent="0.3"/>
    <row r="6701" s="1" customFormat="1" x14ac:dyDescent="0.3"/>
    <row r="6702" s="1" customFormat="1" x14ac:dyDescent="0.3"/>
    <row r="6703" s="1" customFormat="1" x14ac:dyDescent="0.3"/>
    <row r="6704" s="1" customFormat="1" x14ac:dyDescent="0.3"/>
    <row r="6705" s="1" customFormat="1" x14ac:dyDescent="0.3"/>
    <row r="6706" s="1" customFormat="1" x14ac:dyDescent="0.3"/>
    <row r="6707" s="1" customFormat="1" x14ac:dyDescent="0.3"/>
    <row r="6708" s="1" customFormat="1" x14ac:dyDescent="0.3"/>
    <row r="6709" s="1" customFormat="1" x14ac:dyDescent="0.3"/>
    <row r="6710" s="1" customFormat="1" x14ac:dyDescent="0.3"/>
    <row r="6711" s="1" customFormat="1" x14ac:dyDescent="0.3"/>
    <row r="6712" s="1" customFormat="1" x14ac:dyDescent="0.3"/>
    <row r="6713" s="1" customFormat="1" x14ac:dyDescent="0.3"/>
    <row r="6714" s="1" customFormat="1" x14ac:dyDescent="0.3"/>
    <row r="6715" s="1" customFormat="1" x14ac:dyDescent="0.3"/>
    <row r="6716" s="1" customFormat="1" x14ac:dyDescent="0.3"/>
    <row r="6717" s="1" customFormat="1" x14ac:dyDescent="0.3"/>
    <row r="6718" s="1" customFormat="1" x14ac:dyDescent="0.3"/>
    <row r="6719" s="1" customFormat="1" x14ac:dyDescent="0.3"/>
    <row r="6720" s="1" customFormat="1" x14ac:dyDescent="0.3"/>
    <row r="6721" s="1" customFormat="1" x14ac:dyDescent="0.3"/>
    <row r="6722" s="1" customFormat="1" x14ac:dyDescent="0.3"/>
    <row r="6723" s="1" customFormat="1" x14ac:dyDescent="0.3"/>
    <row r="6724" s="1" customFormat="1" x14ac:dyDescent="0.3"/>
    <row r="6725" s="1" customFormat="1" x14ac:dyDescent="0.3"/>
    <row r="6726" s="1" customFormat="1" x14ac:dyDescent="0.3"/>
    <row r="6727" s="1" customFormat="1" x14ac:dyDescent="0.3"/>
    <row r="6728" s="1" customFormat="1" x14ac:dyDescent="0.3"/>
    <row r="6729" s="1" customFormat="1" x14ac:dyDescent="0.3"/>
    <row r="6730" s="1" customFormat="1" x14ac:dyDescent="0.3"/>
    <row r="6731" s="1" customFormat="1" x14ac:dyDescent="0.3"/>
    <row r="6732" s="1" customFormat="1" x14ac:dyDescent="0.3"/>
    <row r="6733" s="1" customFormat="1" x14ac:dyDescent="0.3"/>
    <row r="6734" s="1" customFormat="1" x14ac:dyDescent="0.3"/>
    <row r="6735" s="1" customFormat="1" x14ac:dyDescent="0.3"/>
    <row r="6736" s="1" customFormat="1" x14ac:dyDescent="0.3"/>
    <row r="6737" s="1" customFormat="1" x14ac:dyDescent="0.3"/>
    <row r="6738" s="1" customFormat="1" x14ac:dyDescent="0.3"/>
    <row r="6739" s="1" customFormat="1" x14ac:dyDescent="0.3"/>
    <row r="6740" s="1" customFormat="1" x14ac:dyDescent="0.3"/>
    <row r="6741" s="1" customFormat="1" x14ac:dyDescent="0.3"/>
    <row r="6742" s="1" customFormat="1" x14ac:dyDescent="0.3"/>
    <row r="6743" s="1" customFormat="1" x14ac:dyDescent="0.3"/>
    <row r="6744" s="1" customFormat="1" x14ac:dyDescent="0.3"/>
    <row r="6745" s="1" customFormat="1" x14ac:dyDescent="0.3"/>
    <row r="6746" s="1" customFormat="1" x14ac:dyDescent="0.3"/>
    <row r="6747" s="1" customFormat="1" x14ac:dyDescent="0.3"/>
    <row r="6748" s="1" customFormat="1" x14ac:dyDescent="0.3"/>
    <row r="6749" s="1" customFormat="1" x14ac:dyDescent="0.3"/>
    <row r="6750" s="1" customFormat="1" x14ac:dyDescent="0.3"/>
    <row r="6751" s="1" customFormat="1" x14ac:dyDescent="0.3"/>
    <row r="6752" s="1" customFormat="1" x14ac:dyDescent="0.3"/>
    <row r="6753" s="1" customFormat="1" x14ac:dyDescent="0.3"/>
    <row r="6754" s="1" customFormat="1" x14ac:dyDescent="0.3"/>
    <row r="6755" s="1" customFormat="1" x14ac:dyDescent="0.3"/>
    <row r="6756" s="1" customFormat="1" x14ac:dyDescent="0.3"/>
    <row r="6757" s="1" customFormat="1" x14ac:dyDescent="0.3"/>
    <row r="6758" s="1" customFormat="1" x14ac:dyDescent="0.3"/>
    <row r="6759" s="1" customFormat="1" x14ac:dyDescent="0.3"/>
    <row r="6760" s="1" customFormat="1" x14ac:dyDescent="0.3"/>
    <row r="6761" s="1" customFormat="1" x14ac:dyDescent="0.3"/>
    <row r="6762" s="1" customFormat="1" x14ac:dyDescent="0.3"/>
    <row r="6763" s="1" customFormat="1" x14ac:dyDescent="0.3"/>
    <row r="6764" s="1" customFormat="1" x14ac:dyDescent="0.3"/>
    <row r="6765" s="1" customFormat="1" x14ac:dyDescent="0.3"/>
    <row r="6766" s="1" customFormat="1" x14ac:dyDescent="0.3"/>
    <row r="6767" s="1" customFormat="1" x14ac:dyDescent="0.3"/>
    <row r="6768" s="1" customFormat="1" x14ac:dyDescent="0.3"/>
    <row r="6769" s="1" customFormat="1" x14ac:dyDescent="0.3"/>
    <row r="6770" s="1" customFormat="1" x14ac:dyDescent="0.3"/>
    <row r="6771" s="1" customFormat="1" x14ac:dyDescent="0.3"/>
    <row r="6772" s="1" customFormat="1" x14ac:dyDescent="0.3"/>
    <row r="6773" s="1" customFormat="1" x14ac:dyDescent="0.3"/>
    <row r="6774" s="1" customFormat="1" x14ac:dyDescent="0.3"/>
    <row r="6775" s="1" customFormat="1" x14ac:dyDescent="0.3"/>
    <row r="6776" s="1" customFormat="1" x14ac:dyDescent="0.3"/>
    <row r="6777" s="1" customFormat="1" x14ac:dyDescent="0.3"/>
    <row r="6778" s="1" customFormat="1" x14ac:dyDescent="0.3"/>
    <row r="6779" s="1" customFormat="1" x14ac:dyDescent="0.3"/>
    <row r="6780" s="1" customFormat="1" x14ac:dyDescent="0.3"/>
    <row r="6781" s="1" customFormat="1" x14ac:dyDescent="0.3"/>
    <row r="6782" s="1" customFormat="1" x14ac:dyDescent="0.3"/>
    <row r="6783" s="1" customFormat="1" x14ac:dyDescent="0.3"/>
    <row r="6784" s="1" customFormat="1" x14ac:dyDescent="0.3"/>
    <row r="6785" s="1" customFormat="1" x14ac:dyDescent="0.3"/>
    <row r="6786" s="1" customFormat="1" x14ac:dyDescent="0.3"/>
    <row r="6787" s="1" customFormat="1" x14ac:dyDescent="0.3"/>
    <row r="6788" s="1" customFormat="1" x14ac:dyDescent="0.3"/>
    <row r="6789" s="1" customFormat="1" x14ac:dyDescent="0.3"/>
    <row r="6790" s="1" customFormat="1" x14ac:dyDescent="0.3"/>
    <row r="6791" s="1" customFormat="1" x14ac:dyDescent="0.3"/>
    <row r="6792" s="1" customFormat="1" x14ac:dyDescent="0.3"/>
    <row r="6793" s="1" customFormat="1" x14ac:dyDescent="0.3"/>
    <row r="6794" s="1" customFormat="1" x14ac:dyDescent="0.3"/>
    <row r="6795" s="1" customFormat="1" x14ac:dyDescent="0.3"/>
    <row r="6796" s="1" customFormat="1" x14ac:dyDescent="0.3"/>
    <row r="6797" s="1" customFormat="1" x14ac:dyDescent="0.3"/>
    <row r="6798" s="1" customFormat="1" x14ac:dyDescent="0.3"/>
    <row r="6799" s="1" customFormat="1" x14ac:dyDescent="0.3"/>
    <row r="6800" s="1" customFormat="1" x14ac:dyDescent="0.3"/>
    <row r="6801" s="1" customFormat="1" x14ac:dyDescent="0.3"/>
    <row r="6802" s="1" customFormat="1" x14ac:dyDescent="0.3"/>
    <row r="6803" s="1" customFormat="1" x14ac:dyDescent="0.3"/>
    <row r="6804" s="1" customFormat="1" x14ac:dyDescent="0.3"/>
    <row r="6805" s="1" customFormat="1" x14ac:dyDescent="0.3"/>
    <row r="6806" s="1" customFormat="1" x14ac:dyDescent="0.3"/>
    <row r="6807" s="1" customFormat="1" x14ac:dyDescent="0.3"/>
    <row r="6808" s="1" customFormat="1" x14ac:dyDescent="0.3"/>
    <row r="6809" s="1" customFormat="1" x14ac:dyDescent="0.3"/>
    <row r="6810" s="1" customFormat="1" x14ac:dyDescent="0.3"/>
    <row r="6811" s="1" customFormat="1" x14ac:dyDescent="0.3"/>
    <row r="6812" s="1" customFormat="1" x14ac:dyDescent="0.3"/>
    <row r="6813" s="1" customFormat="1" x14ac:dyDescent="0.3"/>
    <row r="6814" s="1" customFormat="1" x14ac:dyDescent="0.3"/>
    <row r="6815" s="1" customFormat="1" x14ac:dyDescent="0.3"/>
    <row r="6816" s="1" customFormat="1" x14ac:dyDescent="0.3"/>
    <row r="6817" s="1" customFormat="1" x14ac:dyDescent="0.3"/>
    <row r="6818" s="1" customFormat="1" x14ac:dyDescent="0.3"/>
    <row r="6819" s="1" customFormat="1" x14ac:dyDescent="0.3"/>
    <row r="6820" s="1" customFormat="1" x14ac:dyDescent="0.3"/>
    <row r="6821" s="1" customFormat="1" x14ac:dyDescent="0.3"/>
    <row r="6822" s="1" customFormat="1" x14ac:dyDescent="0.3"/>
    <row r="6823" s="1" customFormat="1" x14ac:dyDescent="0.3"/>
    <row r="6824" s="1" customFormat="1" x14ac:dyDescent="0.3"/>
    <row r="6825" s="1" customFormat="1" x14ac:dyDescent="0.3"/>
    <row r="6826" s="1" customFormat="1" x14ac:dyDescent="0.3"/>
    <row r="6827" s="1" customFormat="1" x14ac:dyDescent="0.3"/>
    <row r="6828" s="1" customFormat="1" x14ac:dyDescent="0.3"/>
    <row r="6829" s="1" customFormat="1" x14ac:dyDescent="0.3"/>
    <row r="6830" s="1" customFormat="1" x14ac:dyDescent="0.3"/>
    <row r="6831" s="1" customFormat="1" x14ac:dyDescent="0.3"/>
    <row r="6832" s="1" customFormat="1" x14ac:dyDescent="0.3"/>
    <row r="6833" s="1" customFormat="1" x14ac:dyDescent="0.3"/>
    <row r="6834" s="1" customFormat="1" x14ac:dyDescent="0.3"/>
    <row r="6835" s="1" customFormat="1" x14ac:dyDescent="0.3"/>
    <row r="6836" s="1" customFormat="1" x14ac:dyDescent="0.3"/>
    <row r="6837" s="1" customFormat="1" x14ac:dyDescent="0.3"/>
    <row r="6838" s="1" customFormat="1" x14ac:dyDescent="0.3"/>
    <row r="6839" s="1" customFormat="1" x14ac:dyDescent="0.3"/>
    <row r="6840" s="1" customFormat="1" x14ac:dyDescent="0.3"/>
    <row r="6841" s="1" customFormat="1" x14ac:dyDescent="0.3"/>
    <row r="6842" s="1" customFormat="1" x14ac:dyDescent="0.3"/>
    <row r="6843" s="1" customFormat="1" x14ac:dyDescent="0.3"/>
    <row r="6844" s="1" customFormat="1" x14ac:dyDescent="0.3"/>
    <row r="6845" s="1" customFormat="1" x14ac:dyDescent="0.3"/>
    <row r="6846" s="1" customFormat="1" x14ac:dyDescent="0.3"/>
    <row r="6847" s="1" customFormat="1" x14ac:dyDescent="0.3"/>
    <row r="6848" s="1" customFormat="1" x14ac:dyDescent="0.3"/>
    <row r="6849" s="1" customFormat="1" x14ac:dyDescent="0.3"/>
    <row r="6850" s="1" customFormat="1" x14ac:dyDescent="0.3"/>
    <row r="6851" s="1" customFormat="1" x14ac:dyDescent="0.3"/>
    <row r="6852" s="1" customFormat="1" x14ac:dyDescent="0.3"/>
    <row r="6853" s="1" customFormat="1" x14ac:dyDescent="0.3"/>
    <row r="6854" s="1" customFormat="1" x14ac:dyDescent="0.3"/>
    <row r="6855" s="1" customFormat="1" x14ac:dyDescent="0.3"/>
    <row r="6856" s="1" customFormat="1" x14ac:dyDescent="0.3"/>
    <row r="6857" s="1" customFormat="1" x14ac:dyDescent="0.3"/>
    <row r="6858" s="1" customFormat="1" x14ac:dyDescent="0.3"/>
    <row r="6859" s="1" customFormat="1" x14ac:dyDescent="0.3"/>
    <row r="6860" s="1" customFormat="1" x14ac:dyDescent="0.3"/>
    <row r="6861" s="1" customFormat="1" x14ac:dyDescent="0.3"/>
    <row r="6862" s="1" customFormat="1" x14ac:dyDescent="0.3"/>
    <row r="6863" s="1" customFormat="1" x14ac:dyDescent="0.3"/>
    <row r="6864" s="1" customFormat="1" x14ac:dyDescent="0.3"/>
    <row r="6865" s="1" customFormat="1" x14ac:dyDescent="0.3"/>
    <row r="6866" s="1" customFormat="1" x14ac:dyDescent="0.3"/>
    <row r="6867" s="1" customFormat="1" x14ac:dyDescent="0.3"/>
    <row r="6868" s="1" customFormat="1" x14ac:dyDescent="0.3"/>
    <row r="6869" s="1" customFormat="1" x14ac:dyDescent="0.3"/>
    <row r="6870" s="1" customFormat="1" x14ac:dyDescent="0.3"/>
    <row r="6871" s="1" customFormat="1" x14ac:dyDescent="0.3"/>
    <row r="6872" s="1" customFormat="1" x14ac:dyDescent="0.3"/>
    <row r="6873" s="1" customFormat="1" x14ac:dyDescent="0.3"/>
    <row r="6874" s="1" customFormat="1" x14ac:dyDescent="0.3"/>
    <row r="6875" s="1" customFormat="1" x14ac:dyDescent="0.3"/>
    <row r="6876" s="1" customFormat="1" x14ac:dyDescent="0.3"/>
    <row r="6877" s="1" customFormat="1" x14ac:dyDescent="0.3"/>
    <row r="6878" s="1" customFormat="1" x14ac:dyDescent="0.3"/>
    <row r="6879" s="1" customFormat="1" x14ac:dyDescent="0.3"/>
    <row r="6880" s="1" customFormat="1" x14ac:dyDescent="0.3"/>
    <row r="6881" s="1" customFormat="1" x14ac:dyDescent="0.3"/>
    <row r="6882" s="1" customFormat="1" x14ac:dyDescent="0.3"/>
    <row r="6883" s="1" customFormat="1" x14ac:dyDescent="0.3"/>
    <row r="6884" s="1" customFormat="1" x14ac:dyDescent="0.3"/>
    <row r="6885" s="1" customFormat="1" x14ac:dyDescent="0.3"/>
    <row r="6886" s="1" customFormat="1" x14ac:dyDescent="0.3"/>
    <row r="6887" s="1" customFormat="1" x14ac:dyDescent="0.3"/>
    <row r="6888" s="1" customFormat="1" x14ac:dyDescent="0.3"/>
    <row r="6889" s="1" customFormat="1" x14ac:dyDescent="0.3"/>
    <row r="6890" s="1" customFormat="1" x14ac:dyDescent="0.3"/>
    <row r="6891" s="1" customFormat="1" x14ac:dyDescent="0.3"/>
    <row r="6892" s="1" customFormat="1" x14ac:dyDescent="0.3"/>
    <row r="6893" s="1" customFormat="1" x14ac:dyDescent="0.3"/>
    <row r="6894" s="1" customFormat="1" x14ac:dyDescent="0.3"/>
    <row r="6895" s="1" customFormat="1" x14ac:dyDescent="0.3"/>
    <row r="6896" s="1" customFormat="1" x14ac:dyDescent="0.3"/>
    <row r="6897" s="1" customFormat="1" x14ac:dyDescent="0.3"/>
    <row r="6898" s="1" customFormat="1" x14ac:dyDescent="0.3"/>
    <row r="6899" s="1" customFormat="1" x14ac:dyDescent="0.3"/>
    <row r="6900" s="1" customFormat="1" x14ac:dyDescent="0.3"/>
    <row r="6901" s="1" customFormat="1" x14ac:dyDescent="0.3"/>
    <row r="6902" s="1" customFormat="1" x14ac:dyDescent="0.3"/>
    <row r="6903" s="1" customFormat="1" x14ac:dyDescent="0.3"/>
    <row r="6904" s="1" customFormat="1" x14ac:dyDescent="0.3"/>
    <row r="6905" s="1" customFormat="1" x14ac:dyDescent="0.3"/>
    <row r="6906" s="1" customFormat="1" x14ac:dyDescent="0.3"/>
    <row r="6907" s="1" customFormat="1" x14ac:dyDescent="0.3"/>
    <row r="6908" s="1" customFormat="1" x14ac:dyDescent="0.3"/>
    <row r="6909" s="1" customFormat="1" x14ac:dyDescent="0.3"/>
    <row r="6910" s="1" customFormat="1" x14ac:dyDescent="0.3"/>
    <row r="6911" s="1" customFormat="1" x14ac:dyDescent="0.3"/>
    <row r="6912" s="1" customFormat="1" x14ac:dyDescent="0.3"/>
    <row r="6913" s="1" customFormat="1" x14ac:dyDescent="0.3"/>
    <row r="6914" s="1" customFormat="1" x14ac:dyDescent="0.3"/>
    <row r="6915" s="1" customFormat="1" x14ac:dyDescent="0.3"/>
    <row r="6916" s="1" customFormat="1" x14ac:dyDescent="0.3"/>
    <row r="6917" s="1" customFormat="1" x14ac:dyDescent="0.3"/>
    <row r="6918" s="1" customFormat="1" x14ac:dyDescent="0.3"/>
    <row r="6919" s="1" customFormat="1" x14ac:dyDescent="0.3"/>
    <row r="6920" s="1" customFormat="1" x14ac:dyDescent="0.3"/>
    <row r="6921" s="1" customFormat="1" x14ac:dyDescent="0.3"/>
    <row r="6922" s="1" customFormat="1" x14ac:dyDescent="0.3"/>
    <row r="6923" s="1" customFormat="1" x14ac:dyDescent="0.3"/>
    <row r="6924" s="1" customFormat="1" x14ac:dyDescent="0.3"/>
    <row r="6925" s="1" customFormat="1" x14ac:dyDescent="0.3"/>
    <row r="6926" s="1" customFormat="1" x14ac:dyDescent="0.3"/>
    <row r="6927" s="1" customFormat="1" x14ac:dyDescent="0.3"/>
    <row r="6928" s="1" customFormat="1" x14ac:dyDescent="0.3"/>
    <row r="6929" s="1" customFormat="1" x14ac:dyDescent="0.3"/>
    <row r="6930" s="1" customFormat="1" x14ac:dyDescent="0.3"/>
    <row r="6931" s="1" customFormat="1" x14ac:dyDescent="0.3"/>
    <row r="6932" s="1" customFormat="1" x14ac:dyDescent="0.3"/>
    <row r="6933" s="1" customFormat="1" x14ac:dyDescent="0.3"/>
    <row r="6934" s="1" customFormat="1" x14ac:dyDescent="0.3"/>
    <row r="6935" s="1" customFormat="1" x14ac:dyDescent="0.3"/>
    <row r="6936" s="1" customFormat="1" x14ac:dyDescent="0.3"/>
    <row r="6937" s="1" customFormat="1" x14ac:dyDescent="0.3"/>
    <row r="6938" s="1" customFormat="1" x14ac:dyDescent="0.3"/>
    <row r="6939" s="1" customFormat="1" x14ac:dyDescent="0.3"/>
    <row r="6940" s="1" customFormat="1" x14ac:dyDescent="0.3"/>
    <row r="6941" s="1" customFormat="1" x14ac:dyDescent="0.3"/>
    <row r="6942" s="1" customFormat="1" x14ac:dyDescent="0.3"/>
    <row r="6943" s="1" customFormat="1" x14ac:dyDescent="0.3"/>
    <row r="6944" s="1" customFormat="1" x14ac:dyDescent="0.3"/>
    <row r="6945" s="1" customFormat="1" x14ac:dyDescent="0.3"/>
    <row r="6946" s="1" customFormat="1" x14ac:dyDescent="0.3"/>
    <row r="6947" s="1" customFormat="1" x14ac:dyDescent="0.3"/>
    <row r="6948" s="1" customFormat="1" x14ac:dyDescent="0.3"/>
    <row r="6949" s="1" customFormat="1" x14ac:dyDescent="0.3"/>
    <row r="6950" s="1" customFormat="1" x14ac:dyDescent="0.3"/>
    <row r="6951" s="1" customFormat="1" x14ac:dyDescent="0.3"/>
    <row r="6952" s="1" customFormat="1" x14ac:dyDescent="0.3"/>
    <row r="6953" s="1" customFormat="1" x14ac:dyDescent="0.3"/>
    <row r="6954" s="1" customFormat="1" x14ac:dyDescent="0.3"/>
    <row r="6955" s="1" customFormat="1" x14ac:dyDescent="0.3"/>
    <row r="6956" s="1" customFormat="1" x14ac:dyDescent="0.3"/>
    <row r="6957" s="1" customFormat="1" x14ac:dyDescent="0.3"/>
    <row r="6958" s="1" customFormat="1" x14ac:dyDescent="0.3"/>
    <row r="6959" s="1" customFormat="1" x14ac:dyDescent="0.3"/>
    <row r="6960" s="1" customFormat="1" x14ac:dyDescent="0.3"/>
    <row r="6961" s="1" customFormat="1" x14ac:dyDescent="0.3"/>
    <row r="6962" s="1" customFormat="1" x14ac:dyDescent="0.3"/>
    <row r="6963" s="1" customFormat="1" x14ac:dyDescent="0.3"/>
    <row r="6964" s="1" customFormat="1" x14ac:dyDescent="0.3"/>
    <row r="6965" s="1" customFormat="1" x14ac:dyDescent="0.3"/>
    <row r="6966" s="1" customFormat="1" x14ac:dyDescent="0.3"/>
    <row r="6967" s="1" customFormat="1" x14ac:dyDescent="0.3"/>
    <row r="6968" s="1" customFormat="1" x14ac:dyDescent="0.3"/>
    <row r="6969" s="1" customFormat="1" x14ac:dyDescent="0.3"/>
    <row r="6970" s="1" customFormat="1" x14ac:dyDescent="0.3"/>
    <row r="6971" s="1" customFormat="1" x14ac:dyDescent="0.3"/>
    <row r="6972" s="1" customFormat="1" x14ac:dyDescent="0.3"/>
    <row r="6973" s="1" customFormat="1" x14ac:dyDescent="0.3"/>
    <row r="6974" s="1" customFormat="1" x14ac:dyDescent="0.3"/>
    <row r="6975" s="1" customFormat="1" x14ac:dyDescent="0.3"/>
    <row r="6976" s="1" customFormat="1" x14ac:dyDescent="0.3"/>
    <row r="6977" s="1" customFormat="1" x14ac:dyDescent="0.3"/>
    <row r="6978" s="1" customFormat="1" x14ac:dyDescent="0.3"/>
    <row r="6979" s="1" customFormat="1" x14ac:dyDescent="0.3"/>
    <row r="6980" s="1" customFormat="1" x14ac:dyDescent="0.3"/>
    <row r="6981" s="1" customFormat="1" x14ac:dyDescent="0.3"/>
    <row r="6982" s="1" customFormat="1" x14ac:dyDescent="0.3"/>
    <row r="6983" s="1" customFormat="1" x14ac:dyDescent="0.3"/>
    <row r="6984" s="1" customFormat="1" x14ac:dyDescent="0.3"/>
    <row r="6985" s="1" customFormat="1" x14ac:dyDescent="0.3"/>
    <row r="6986" s="1" customFormat="1" x14ac:dyDescent="0.3"/>
    <row r="6987" s="1" customFormat="1" x14ac:dyDescent="0.3"/>
    <row r="6988" s="1" customFormat="1" x14ac:dyDescent="0.3"/>
    <row r="6989" s="1" customFormat="1" x14ac:dyDescent="0.3"/>
    <row r="6990" s="1" customFormat="1" x14ac:dyDescent="0.3"/>
    <row r="6991" s="1" customFormat="1" x14ac:dyDescent="0.3"/>
    <row r="6992" s="1" customFormat="1" x14ac:dyDescent="0.3"/>
    <row r="6993" s="1" customFormat="1" x14ac:dyDescent="0.3"/>
    <row r="6994" s="1" customFormat="1" x14ac:dyDescent="0.3"/>
    <row r="6995" s="1" customFormat="1" x14ac:dyDescent="0.3"/>
    <row r="6996" s="1" customFormat="1" x14ac:dyDescent="0.3"/>
    <row r="6997" s="1" customFormat="1" x14ac:dyDescent="0.3"/>
    <row r="6998" s="1" customFormat="1" x14ac:dyDescent="0.3"/>
    <row r="6999" s="1" customFormat="1" x14ac:dyDescent="0.3"/>
    <row r="7000" s="1" customFormat="1" x14ac:dyDescent="0.3"/>
    <row r="7001" s="1" customFormat="1" x14ac:dyDescent="0.3"/>
    <row r="7002" s="1" customFormat="1" x14ac:dyDescent="0.3"/>
    <row r="7003" s="1" customFormat="1" x14ac:dyDescent="0.3"/>
    <row r="7004" s="1" customFormat="1" x14ac:dyDescent="0.3"/>
    <row r="7005" s="1" customFormat="1" x14ac:dyDescent="0.3"/>
    <row r="7006" s="1" customFormat="1" x14ac:dyDescent="0.3"/>
    <row r="7007" s="1" customFormat="1" x14ac:dyDescent="0.3"/>
    <row r="7008" s="1" customFormat="1" x14ac:dyDescent="0.3"/>
    <row r="7009" s="1" customFormat="1" x14ac:dyDescent="0.3"/>
    <row r="7010" s="1" customFormat="1" x14ac:dyDescent="0.3"/>
    <row r="7011" s="1" customFormat="1" x14ac:dyDescent="0.3"/>
    <row r="7012" s="1" customFormat="1" x14ac:dyDescent="0.3"/>
    <row r="7013" s="1" customFormat="1" x14ac:dyDescent="0.3"/>
    <row r="7014" s="1" customFormat="1" x14ac:dyDescent="0.3"/>
    <row r="7015" s="1" customFormat="1" x14ac:dyDescent="0.3"/>
    <row r="7016" s="1" customFormat="1" x14ac:dyDescent="0.3"/>
    <row r="7017" s="1" customFormat="1" x14ac:dyDescent="0.3"/>
    <row r="7018" s="1" customFormat="1" x14ac:dyDescent="0.3"/>
    <row r="7019" s="1" customFormat="1" x14ac:dyDescent="0.3"/>
    <row r="7020" s="1" customFormat="1" x14ac:dyDescent="0.3"/>
    <row r="7021" s="1" customFormat="1" x14ac:dyDescent="0.3"/>
    <row r="7022" s="1" customFormat="1" x14ac:dyDescent="0.3"/>
    <row r="7023" s="1" customFormat="1" x14ac:dyDescent="0.3"/>
    <row r="7024" s="1" customFormat="1" x14ac:dyDescent="0.3"/>
    <row r="7025" s="1" customFormat="1" x14ac:dyDescent="0.3"/>
    <row r="7026" s="1" customFormat="1" x14ac:dyDescent="0.3"/>
    <row r="7027" s="1" customFormat="1" x14ac:dyDescent="0.3"/>
    <row r="7028" s="1" customFormat="1" x14ac:dyDescent="0.3"/>
    <row r="7029" s="1" customFormat="1" x14ac:dyDescent="0.3"/>
    <row r="7030" s="1" customFormat="1" x14ac:dyDescent="0.3"/>
    <row r="7031" s="1" customFormat="1" x14ac:dyDescent="0.3"/>
    <row r="7032" s="1" customFormat="1" x14ac:dyDescent="0.3"/>
    <row r="7033" s="1" customFormat="1" x14ac:dyDescent="0.3"/>
    <row r="7034" s="1" customFormat="1" x14ac:dyDescent="0.3"/>
    <row r="7035" s="1" customFormat="1" x14ac:dyDescent="0.3"/>
    <row r="7036" s="1" customFormat="1" x14ac:dyDescent="0.3"/>
    <row r="7037" s="1" customFormat="1" x14ac:dyDescent="0.3"/>
    <row r="7038" s="1" customFormat="1" x14ac:dyDescent="0.3"/>
    <row r="7039" s="1" customFormat="1" x14ac:dyDescent="0.3"/>
    <row r="7040" s="1" customFormat="1" x14ac:dyDescent="0.3"/>
    <row r="7041" s="1" customFormat="1" x14ac:dyDescent="0.3"/>
    <row r="7042" s="1" customFormat="1" x14ac:dyDescent="0.3"/>
    <row r="7043" s="1" customFormat="1" x14ac:dyDescent="0.3"/>
    <row r="7044" s="1" customFormat="1" x14ac:dyDescent="0.3"/>
    <row r="7045" s="1" customFormat="1" x14ac:dyDescent="0.3"/>
    <row r="7046" s="1" customFormat="1" x14ac:dyDescent="0.3"/>
    <row r="7047" s="1" customFormat="1" x14ac:dyDescent="0.3"/>
    <row r="7048" s="1" customFormat="1" x14ac:dyDescent="0.3"/>
    <row r="7049" s="1" customFormat="1" x14ac:dyDescent="0.3"/>
    <row r="7050" s="1" customFormat="1" x14ac:dyDescent="0.3"/>
    <row r="7051" s="1" customFormat="1" x14ac:dyDescent="0.3"/>
    <row r="7052" s="1" customFormat="1" x14ac:dyDescent="0.3"/>
    <row r="7053" s="1" customFormat="1" x14ac:dyDescent="0.3"/>
    <row r="7054" s="1" customFormat="1" x14ac:dyDescent="0.3"/>
    <row r="7055" s="1" customFormat="1" x14ac:dyDescent="0.3"/>
    <row r="7056" s="1" customFormat="1" x14ac:dyDescent="0.3"/>
    <row r="7057" s="1" customFormat="1" x14ac:dyDescent="0.3"/>
    <row r="7058" s="1" customFormat="1" x14ac:dyDescent="0.3"/>
    <row r="7059" s="1" customFormat="1" x14ac:dyDescent="0.3"/>
    <row r="7060" s="1" customFormat="1" x14ac:dyDescent="0.3"/>
    <row r="7061" s="1" customFormat="1" x14ac:dyDescent="0.3"/>
    <row r="7062" s="1" customFormat="1" x14ac:dyDescent="0.3"/>
    <row r="7063" s="1" customFormat="1" x14ac:dyDescent="0.3"/>
    <row r="7064" s="1" customFormat="1" x14ac:dyDescent="0.3"/>
    <row r="7065" s="1" customFormat="1" x14ac:dyDescent="0.3"/>
    <row r="7066" s="1" customFormat="1" x14ac:dyDescent="0.3"/>
    <row r="7067" s="1" customFormat="1" x14ac:dyDescent="0.3"/>
    <row r="7068" s="1" customFormat="1" x14ac:dyDescent="0.3"/>
    <row r="7069" s="1" customFormat="1" x14ac:dyDescent="0.3"/>
    <row r="7070" s="1" customFormat="1" x14ac:dyDescent="0.3"/>
    <row r="7071" s="1" customFormat="1" x14ac:dyDescent="0.3"/>
    <row r="7072" s="1" customFormat="1" x14ac:dyDescent="0.3"/>
    <row r="7073" s="1" customFormat="1" x14ac:dyDescent="0.3"/>
    <row r="7074" s="1" customFormat="1" x14ac:dyDescent="0.3"/>
    <row r="7075" s="1" customFormat="1" x14ac:dyDescent="0.3"/>
    <row r="7076" s="1" customFormat="1" x14ac:dyDescent="0.3"/>
    <row r="7077" s="1" customFormat="1" x14ac:dyDescent="0.3"/>
    <row r="7078" s="1" customFormat="1" x14ac:dyDescent="0.3"/>
    <row r="7079" s="1" customFormat="1" x14ac:dyDescent="0.3"/>
    <row r="7080" s="1" customFormat="1" x14ac:dyDescent="0.3"/>
    <row r="7081" s="1" customFormat="1" x14ac:dyDescent="0.3"/>
    <row r="7082" s="1" customFormat="1" x14ac:dyDescent="0.3"/>
    <row r="7083" s="1" customFormat="1" x14ac:dyDescent="0.3"/>
    <row r="7084" s="1" customFormat="1" x14ac:dyDescent="0.3"/>
    <row r="7085" s="1" customFormat="1" x14ac:dyDescent="0.3"/>
    <row r="7086" s="1" customFormat="1" x14ac:dyDescent="0.3"/>
    <row r="7087" s="1" customFormat="1" x14ac:dyDescent="0.3"/>
    <row r="7088" s="1" customFormat="1" x14ac:dyDescent="0.3"/>
    <row r="7089" s="1" customFormat="1" x14ac:dyDescent="0.3"/>
    <row r="7090" s="1" customFormat="1" x14ac:dyDescent="0.3"/>
    <row r="7091" s="1" customFormat="1" x14ac:dyDescent="0.3"/>
    <row r="7092" s="1" customFormat="1" x14ac:dyDescent="0.3"/>
    <row r="7093" s="1" customFormat="1" x14ac:dyDescent="0.3"/>
    <row r="7094" s="1" customFormat="1" x14ac:dyDescent="0.3"/>
    <row r="7095" s="1" customFormat="1" x14ac:dyDescent="0.3"/>
    <row r="7096" s="1" customFormat="1" x14ac:dyDescent="0.3"/>
    <row r="7097" s="1" customFormat="1" x14ac:dyDescent="0.3"/>
    <row r="7098" s="1" customFormat="1" x14ac:dyDescent="0.3"/>
    <row r="7099" s="1" customFormat="1" x14ac:dyDescent="0.3"/>
    <row r="7100" s="1" customFormat="1" x14ac:dyDescent="0.3"/>
    <row r="7101" s="1" customFormat="1" x14ac:dyDescent="0.3"/>
    <row r="7102" s="1" customFormat="1" x14ac:dyDescent="0.3"/>
    <row r="7103" s="1" customFormat="1" x14ac:dyDescent="0.3"/>
    <row r="7104" s="1" customFormat="1" x14ac:dyDescent="0.3"/>
    <row r="7105" s="1" customFormat="1" x14ac:dyDescent="0.3"/>
    <row r="7106" s="1" customFormat="1" x14ac:dyDescent="0.3"/>
    <row r="7107" s="1" customFormat="1" x14ac:dyDescent="0.3"/>
    <row r="7108" s="1" customFormat="1" x14ac:dyDescent="0.3"/>
    <row r="7109" s="1" customFormat="1" x14ac:dyDescent="0.3"/>
    <row r="7110" s="1" customFormat="1" x14ac:dyDescent="0.3"/>
    <row r="7111" s="1" customFormat="1" x14ac:dyDescent="0.3"/>
    <row r="7112" s="1" customFormat="1" x14ac:dyDescent="0.3"/>
    <row r="7113" s="1" customFormat="1" x14ac:dyDescent="0.3"/>
    <row r="7114" s="1" customFormat="1" x14ac:dyDescent="0.3"/>
    <row r="7115" s="1" customFormat="1" x14ac:dyDescent="0.3"/>
    <row r="7116" s="1" customFormat="1" x14ac:dyDescent="0.3"/>
    <row r="7117" s="1" customFormat="1" x14ac:dyDescent="0.3"/>
    <row r="7118" s="1" customFormat="1" x14ac:dyDescent="0.3"/>
    <row r="7119" s="1" customFormat="1" x14ac:dyDescent="0.3"/>
    <row r="7120" s="1" customFormat="1" x14ac:dyDescent="0.3"/>
    <row r="7121" s="1" customFormat="1" x14ac:dyDescent="0.3"/>
    <row r="7122" s="1" customFormat="1" x14ac:dyDescent="0.3"/>
    <row r="7123" s="1" customFormat="1" x14ac:dyDescent="0.3"/>
    <row r="7124" s="1" customFormat="1" x14ac:dyDescent="0.3"/>
    <row r="7125" s="1" customFormat="1" x14ac:dyDescent="0.3"/>
    <row r="7126" s="1" customFormat="1" x14ac:dyDescent="0.3"/>
    <row r="7127" s="1" customFormat="1" x14ac:dyDescent="0.3"/>
    <row r="7128" s="1" customFormat="1" x14ac:dyDescent="0.3"/>
    <row r="7129" s="1" customFormat="1" x14ac:dyDescent="0.3"/>
    <row r="7130" s="1" customFormat="1" x14ac:dyDescent="0.3"/>
    <row r="7131" s="1" customFormat="1" x14ac:dyDescent="0.3"/>
    <row r="7132" s="1" customFormat="1" x14ac:dyDescent="0.3"/>
    <row r="7133" s="1" customFormat="1" x14ac:dyDescent="0.3"/>
    <row r="7134" s="1" customFormat="1" x14ac:dyDescent="0.3"/>
    <row r="7135" s="1" customFormat="1" x14ac:dyDescent="0.3"/>
    <row r="7136" s="1" customFormat="1" x14ac:dyDescent="0.3"/>
    <row r="7137" s="1" customFormat="1" x14ac:dyDescent="0.3"/>
    <row r="7138" s="1" customFormat="1" x14ac:dyDescent="0.3"/>
    <row r="7139" s="1" customFormat="1" x14ac:dyDescent="0.3"/>
    <row r="7140" s="1" customFormat="1" x14ac:dyDescent="0.3"/>
    <row r="7141" s="1" customFormat="1" x14ac:dyDescent="0.3"/>
    <row r="7142" s="1" customFormat="1" x14ac:dyDescent="0.3"/>
  </sheetData>
  <protectedRanges>
    <protectedRange sqref="E25:G29" name="Range1_3"/>
  </protectedRanges>
  <phoneticPr fontId="9"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Operational Risks (2)</vt:lpstr>
      <vt:lpstr>Operational Risks</vt:lpstr>
      <vt:lpstr>Prudential Risks</vt:lpstr>
      <vt:lpstr>Governance Controls</vt:lpstr>
      <vt:lpstr>Capital Support </vt:lpstr>
      <vt:lpstr>Client Loss Ratio</vt:lpstr>
      <vt:lpstr>AML</vt:lpstr>
    </vt:vector>
  </TitlesOfParts>
  <Company>omondieliaso@gmail.com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CMA Risk Rating Model</dc:title>
  <dc:subject>Created by ELIAS OMONDI</dc:subject>
  <dc:creator>Elias Omondi</dc:creator>
  <cp:lastModifiedBy>Ronald Ngeno</cp:lastModifiedBy>
  <cp:lastPrinted>2011-10-24T07:27:16Z</cp:lastPrinted>
  <dcterms:created xsi:type="dcterms:W3CDTF">2011-06-20T20:53:47Z</dcterms:created>
  <dcterms:modified xsi:type="dcterms:W3CDTF">2023-05-09T07:06:34Z</dcterms:modified>
  <cp:version>VERSION 1</cp:version>
</cp:coreProperties>
</file>